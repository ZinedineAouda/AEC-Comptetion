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aec2\"/>
    </mc:Choice>
  </mc:AlternateContent>
  <xr:revisionPtr revIDLastSave="0" documentId="13_ncr:1_{BBED65DB-609D-411B-B7DB-F0335017E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chart.v1.0" hidden="1">Sheet1!$C$608:$C$1607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H587" i="1"/>
  <c r="I6" i="1"/>
  <c r="I7" i="1"/>
  <c r="J7" i="1" s="1"/>
  <c r="I8" i="1"/>
  <c r="I9" i="1"/>
  <c r="I10" i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I23" i="1"/>
  <c r="I24" i="1"/>
  <c r="I25" i="1"/>
  <c r="I26" i="1"/>
  <c r="I27" i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I39" i="1"/>
  <c r="J39" i="1" s="1"/>
  <c r="I40" i="1"/>
  <c r="I41" i="1"/>
  <c r="I42" i="1"/>
  <c r="I43" i="1"/>
  <c r="I44" i="1"/>
  <c r="I45" i="1"/>
  <c r="I46" i="1"/>
  <c r="I47" i="1"/>
  <c r="J47" i="1" s="1"/>
  <c r="I48" i="1"/>
  <c r="I49" i="1"/>
  <c r="I50" i="1"/>
  <c r="J50" i="1" s="1"/>
  <c r="I51" i="1"/>
  <c r="J51" i="1" s="1"/>
  <c r="I52" i="1"/>
  <c r="J52" i="1" s="1"/>
  <c r="I53" i="1"/>
  <c r="J53" i="1" s="1"/>
  <c r="I54" i="1"/>
  <c r="I55" i="1"/>
  <c r="J55" i="1" s="1"/>
  <c r="I56" i="1"/>
  <c r="I57" i="1"/>
  <c r="I58" i="1"/>
  <c r="I59" i="1"/>
  <c r="J59" i="1" s="1"/>
  <c r="I60" i="1"/>
  <c r="J60" i="1" s="1"/>
  <c r="I61" i="1"/>
  <c r="J61" i="1" s="1"/>
  <c r="I62" i="1"/>
  <c r="J62" i="1" s="1"/>
  <c r="I63" i="1"/>
  <c r="J63" i="1" s="1"/>
  <c r="I64" i="1"/>
  <c r="I65" i="1"/>
  <c r="I66" i="1"/>
  <c r="J66" i="1" s="1"/>
  <c r="I67" i="1"/>
  <c r="J67" i="1" s="1"/>
  <c r="I68" i="1"/>
  <c r="J68" i="1" s="1"/>
  <c r="I69" i="1"/>
  <c r="J69" i="1" s="1"/>
  <c r="I70" i="1"/>
  <c r="I71" i="1"/>
  <c r="I72" i="1"/>
  <c r="I73" i="1"/>
  <c r="I74" i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I87" i="1"/>
  <c r="I88" i="1"/>
  <c r="I89" i="1"/>
  <c r="I90" i="1"/>
  <c r="I91" i="1"/>
  <c r="I92" i="1"/>
  <c r="J92" i="1" s="1"/>
  <c r="I93" i="1"/>
  <c r="I94" i="1"/>
  <c r="I95" i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I103" i="1"/>
  <c r="J103" i="1" s="1"/>
  <c r="I104" i="1"/>
  <c r="I105" i="1"/>
  <c r="I106" i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I119" i="1"/>
  <c r="I120" i="1"/>
  <c r="I121" i="1"/>
  <c r="I122" i="1"/>
  <c r="I123" i="1"/>
  <c r="I124" i="1"/>
  <c r="J124" i="1" s="1"/>
  <c r="I125" i="1"/>
  <c r="J125" i="1" s="1"/>
  <c r="I126" i="1"/>
  <c r="J126" i="1" s="1"/>
  <c r="I127" i="1"/>
  <c r="J127" i="1" s="1"/>
  <c r="I128" i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I135" i="1"/>
  <c r="J135" i="1" s="1"/>
  <c r="I136" i="1"/>
  <c r="I137" i="1"/>
  <c r="I138" i="1"/>
  <c r="I139" i="1"/>
  <c r="I140" i="1"/>
  <c r="I141" i="1"/>
  <c r="J141" i="1" s="1"/>
  <c r="I142" i="1"/>
  <c r="J142" i="1" s="1"/>
  <c r="I143" i="1"/>
  <c r="I144" i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I151" i="1"/>
  <c r="I152" i="1"/>
  <c r="I153" i="1"/>
  <c r="I154" i="1"/>
  <c r="I155" i="1"/>
  <c r="I156" i="1"/>
  <c r="I157" i="1"/>
  <c r="I158" i="1"/>
  <c r="I159" i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I167" i="1"/>
  <c r="I168" i="1"/>
  <c r="I169" i="1"/>
  <c r="I170" i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I183" i="1"/>
  <c r="I184" i="1"/>
  <c r="I185" i="1"/>
  <c r="I186" i="1"/>
  <c r="I187" i="1"/>
  <c r="I188" i="1"/>
  <c r="J188" i="1" s="1"/>
  <c r="I189" i="1"/>
  <c r="I190" i="1"/>
  <c r="I191" i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I199" i="1"/>
  <c r="J199" i="1" s="1"/>
  <c r="I200" i="1"/>
  <c r="I201" i="1"/>
  <c r="I202" i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I215" i="1"/>
  <c r="I216" i="1"/>
  <c r="I217" i="1"/>
  <c r="I218" i="1"/>
  <c r="I219" i="1"/>
  <c r="I220" i="1"/>
  <c r="J220" i="1" s="1"/>
  <c r="I221" i="1"/>
  <c r="J221" i="1" s="1"/>
  <c r="I222" i="1"/>
  <c r="J222" i="1" s="1"/>
  <c r="I223" i="1"/>
  <c r="J223" i="1" s="1"/>
  <c r="I224" i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I231" i="1"/>
  <c r="I232" i="1"/>
  <c r="I233" i="1"/>
  <c r="I234" i="1"/>
  <c r="I235" i="1"/>
  <c r="J235" i="1" s="1"/>
  <c r="I236" i="1"/>
  <c r="I237" i="1"/>
  <c r="I238" i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I247" i="1"/>
  <c r="J247" i="1" s="1"/>
  <c r="I248" i="1"/>
  <c r="I249" i="1"/>
  <c r="I250" i="1"/>
  <c r="I251" i="1"/>
  <c r="I252" i="1"/>
  <c r="I253" i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I263" i="1"/>
  <c r="I264" i="1"/>
  <c r="I265" i="1"/>
  <c r="I266" i="1"/>
  <c r="I267" i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I279" i="1"/>
  <c r="I280" i="1"/>
  <c r="I281" i="1"/>
  <c r="I282" i="1"/>
  <c r="I283" i="1"/>
  <c r="I284" i="1"/>
  <c r="I285" i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J306" i="1" s="1"/>
  <c r="I307" i="1"/>
  <c r="J307" i="1" s="1"/>
  <c r="I308" i="1"/>
  <c r="J308" i="1" s="1"/>
  <c r="I309" i="1"/>
  <c r="J309" i="1" s="1"/>
  <c r="I310" i="1"/>
  <c r="I311" i="1"/>
  <c r="I312" i="1"/>
  <c r="I313" i="1"/>
  <c r="I314" i="1"/>
  <c r="I315" i="1"/>
  <c r="I316" i="1"/>
  <c r="J316" i="1" s="1"/>
  <c r="I317" i="1"/>
  <c r="J317" i="1" s="1"/>
  <c r="I318" i="1"/>
  <c r="J318" i="1" s="1"/>
  <c r="I319" i="1"/>
  <c r="J319" i="1" s="1"/>
  <c r="I320" i="1"/>
  <c r="I321" i="1"/>
  <c r="I322" i="1"/>
  <c r="J322" i="1" s="1"/>
  <c r="I323" i="1"/>
  <c r="J323" i="1" s="1"/>
  <c r="I324" i="1"/>
  <c r="J324" i="1" s="1"/>
  <c r="I325" i="1"/>
  <c r="J325" i="1" s="1"/>
  <c r="I326" i="1"/>
  <c r="I327" i="1"/>
  <c r="J327" i="1" s="1"/>
  <c r="I328" i="1"/>
  <c r="I329" i="1"/>
  <c r="I330" i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J343" i="1" s="1"/>
  <c r="I344" i="1"/>
  <c r="I345" i="1"/>
  <c r="I346" i="1"/>
  <c r="I347" i="1"/>
  <c r="I348" i="1"/>
  <c r="I349" i="1"/>
  <c r="J349" i="1" s="1"/>
  <c r="I350" i="1"/>
  <c r="J350" i="1" s="1"/>
  <c r="I351" i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I359" i="1"/>
  <c r="J359" i="1" s="1"/>
  <c r="I360" i="1"/>
  <c r="I361" i="1"/>
  <c r="I362" i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I375" i="1"/>
  <c r="I376" i="1"/>
  <c r="I377" i="1"/>
  <c r="I378" i="1"/>
  <c r="I379" i="1"/>
  <c r="I380" i="1"/>
  <c r="I381" i="1"/>
  <c r="J381" i="1" s="1"/>
  <c r="I382" i="1"/>
  <c r="J382" i="1" s="1"/>
  <c r="I383" i="1"/>
  <c r="J383" i="1" s="1"/>
  <c r="I384" i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I391" i="1"/>
  <c r="J391" i="1" s="1"/>
  <c r="I392" i="1"/>
  <c r="I393" i="1"/>
  <c r="I394" i="1"/>
  <c r="I395" i="1"/>
  <c r="I396" i="1"/>
  <c r="I397" i="1"/>
  <c r="I398" i="1"/>
  <c r="J398" i="1" s="1"/>
  <c r="I399" i="1"/>
  <c r="J399" i="1" s="1"/>
  <c r="I400" i="1"/>
  <c r="I401" i="1"/>
  <c r="I402" i="1"/>
  <c r="J402" i="1" s="1"/>
  <c r="I403" i="1"/>
  <c r="J403" i="1" s="1"/>
  <c r="I404" i="1"/>
  <c r="J404" i="1" s="1"/>
  <c r="I405" i="1"/>
  <c r="J405" i="1" s="1"/>
  <c r="I406" i="1"/>
  <c r="I407" i="1"/>
  <c r="J407" i="1" s="1"/>
  <c r="I408" i="1"/>
  <c r="I409" i="1"/>
  <c r="I410" i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I423" i="1"/>
  <c r="J423" i="1" s="1"/>
  <c r="I424" i="1"/>
  <c r="I425" i="1"/>
  <c r="I426" i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I439" i="1"/>
  <c r="J439" i="1" s="1"/>
  <c r="I440" i="1"/>
  <c r="I441" i="1"/>
  <c r="I442" i="1"/>
  <c r="I443" i="1"/>
  <c r="I444" i="1"/>
  <c r="I445" i="1"/>
  <c r="J445" i="1" s="1"/>
  <c r="I446" i="1"/>
  <c r="J446" i="1" s="1"/>
  <c r="I447" i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I455" i="1"/>
  <c r="J455" i="1" s="1"/>
  <c r="I456" i="1"/>
  <c r="I457" i="1"/>
  <c r="I458" i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I471" i="1"/>
  <c r="I472" i="1"/>
  <c r="I473" i="1"/>
  <c r="I474" i="1"/>
  <c r="I475" i="1"/>
  <c r="I476" i="1"/>
  <c r="I477" i="1"/>
  <c r="J477" i="1" s="1"/>
  <c r="I478" i="1"/>
  <c r="J478" i="1" s="1"/>
  <c r="I479" i="1"/>
  <c r="J479" i="1" s="1"/>
  <c r="I480" i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I487" i="1"/>
  <c r="I488" i="1"/>
  <c r="I489" i="1"/>
  <c r="I490" i="1"/>
  <c r="I491" i="1"/>
  <c r="I492" i="1"/>
  <c r="J492" i="1" s="1"/>
  <c r="I493" i="1"/>
  <c r="I494" i="1"/>
  <c r="I495" i="1"/>
  <c r="I496" i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I503" i="1"/>
  <c r="J503" i="1" s="1"/>
  <c r="I504" i="1"/>
  <c r="I505" i="1"/>
  <c r="I506" i="1"/>
  <c r="I507" i="1"/>
  <c r="I508" i="1"/>
  <c r="I509" i="1"/>
  <c r="I510" i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I519" i="1"/>
  <c r="I520" i="1"/>
  <c r="I521" i="1"/>
  <c r="I522" i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I535" i="1"/>
  <c r="I536" i="1"/>
  <c r="I537" i="1"/>
  <c r="I538" i="1"/>
  <c r="I539" i="1"/>
  <c r="J539" i="1" s="1"/>
  <c r="I540" i="1"/>
  <c r="I541" i="1"/>
  <c r="I542" i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I551" i="1"/>
  <c r="J551" i="1" s="1"/>
  <c r="I552" i="1"/>
  <c r="I553" i="1"/>
  <c r="I554" i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I567" i="1"/>
  <c r="I568" i="1"/>
  <c r="I569" i="1"/>
  <c r="I570" i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I577" i="1"/>
  <c r="I578" i="1"/>
  <c r="J578" i="1" s="1"/>
  <c r="I579" i="1"/>
  <c r="J579" i="1" s="1"/>
  <c r="I580" i="1"/>
  <c r="J580" i="1" s="1"/>
  <c r="I581" i="1"/>
  <c r="J581" i="1" s="1"/>
  <c r="I582" i="1"/>
  <c r="I583" i="1"/>
  <c r="I584" i="1"/>
  <c r="I585" i="1"/>
  <c r="I586" i="1"/>
  <c r="I5" i="1"/>
  <c r="J5" i="1" s="1"/>
  <c r="I4" i="1"/>
  <c r="I3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" i="1"/>
  <c r="J22" i="1"/>
  <c r="J23" i="1"/>
  <c r="J24" i="1"/>
  <c r="J25" i="1"/>
  <c r="J26" i="1"/>
  <c r="J27" i="1"/>
  <c r="J28" i="1"/>
  <c r="J38" i="1"/>
  <c r="J40" i="1"/>
  <c r="J41" i="1"/>
  <c r="J42" i="1"/>
  <c r="J43" i="1"/>
  <c r="J44" i="1"/>
  <c r="J45" i="1"/>
  <c r="J46" i="1"/>
  <c r="J48" i="1"/>
  <c r="J49" i="1"/>
  <c r="J54" i="1"/>
  <c r="J56" i="1"/>
  <c r="J57" i="1"/>
  <c r="J58" i="1"/>
  <c r="J64" i="1"/>
  <c r="J65" i="1"/>
  <c r="J70" i="1"/>
  <c r="J71" i="1"/>
  <c r="J72" i="1"/>
  <c r="J73" i="1"/>
  <c r="J74" i="1"/>
  <c r="J86" i="1"/>
  <c r="J87" i="1"/>
  <c r="J88" i="1"/>
  <c r="J89" i="1"/>
  <c r="J90" i="1"/>
  <c r="J91" i="1"/>
  <c r="J93" i="1"/>
  <c r="J94" i="1"/>
  <c r="J95" i="1"/>
  <c r="J102" i="1"/>
  <c r="J104" i="1"/>
  <c r="J105" i="1"/>
  <c r="J106" i="1"/>
  <c r="J118" i="1"/>
  <c r="J119" i="1"/>
  <c r="J120" i="1"/>
  <c r="J121" i="1"/>
  <c r="J122" i="1"/>
  <c r="J123" i="1"/>
  <c r="J128" i="1"/>
  <c r="J134" i="1"/>
  <c r="J136" i="1"/>
  <c r="J137" i="1"/>
  <c r="J138" i="1"/>
  <c r="J139" i="1"/>
  <c r="J140" i="1"/>
  <c r="J143" i="1"/>
  <c r="J144" i="1"/>
  <c r="J150" i="1"/>
  <c r="J151" i="1"/>
  <c r="J152" i="1"/>
  <c r="J153" i="1"/>
  <c r="J154" i="1"/>
  <c r="J155" i="1"/>
  <c r="J156" i="1"/>
  <c r="J157" i="1"/>
  <c r="J158" i="1"/>
  <c r="J159" i="1"/>
  <c r="J166" i="1"/>
  <c r="J167" i="1"/>
  <c r="J168" i="1"/>
  <c r="J169" i="1"/>
  <c r="J170" i="1"/>
  <c r="J182" i="1"/>
  <c r="J183" i="1"/>
  <c r="J184" i="1"/>
  <c r="J185" i="1"/>
  <c r="J186" i="1"/>
  <c r="J187" i="1"/>
  <c r="J189" i="1"/>
  <c r="J190" i="1"/>
  <c r="J191" i="1"/>
  <c r="J198" i="1"/>
  <c r="J200" i="1"/>
  <c r="J201" i="1"/>
  <c r="J202" i="1"/>
  <c r="J214" i="1"/>
  <c r="J215" i="1"/>
  <c r="J216" i="1"/>
  <c r="J217" i="1"/>
  <c r="J218" i="1"/>
  <c r="J219" i="1"/>
  <c r="J224" i="1"/>
  <c r="J230" i="1"/>
  <c r="J231" i="1"/>
  <c r="J232" i="1"/>
  <c r="J233" i="1"/>
  <c r="J234" i="1"/>
  <c r="J236" i="1"/>
  <c r="J237" i="1"/>
  <c r="J238" i="1"/>
  <c r="J246" i="1"/>
  <c r="J248" i="1"/>
  <c r="J249" i="1"/>
  <c r="J250" i="1"/>
  <c r="J251" i="1"/>
  <c r="J252" i="1"/>
  <c r="J253" i="1"/>
  <c r="J262" i="1"/>
  <c r="J263" i="1"/>
  <c r="J264" i="1"/>
  <c r="J265" i="1"/>
  <c r="J266" i="1"/>
  <c r="J267" i="1"/>
  <c r="J278" i="1"/>
  <c r="J279" i="1"/>
  <c r="J280" i="1"/>
  <c r="J281" i="1"/>
  <c r="J282" i="1"/>
  <c r="J283" i="1"/>
  <c r="J284" i="1"/>
  <c r="J285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10" i="1"/>
  <c r="J311" i="1"/>
  <c r="J312" i="1"/>
  <c r="J313" i="1"/>
  <c r="J314" i="1"/>
  <c r="J315" i="1"/>
  <c r="J320" i="1"/>
  <c r="J321" i="1"/>
  <c r="J326" i="1"/>
  <c r="J328" i="1"/>
  <c r="J329" i="1"/>
  <c r="J330" i="1"/>
  <c r="J342" i="1"/>
  <c r="J344" i="1"/>
  <c r="J345" i="1"/>
  <c r="J346" i="1"/>
  <c r="J347" i="1"/>
  <c r="J348" i="1"/>
  <c r="J351" i="1"/>
  <c r="J358" i="1"/>
  <c r="J360" i="1"/>
  <c r="J361" i="1"/>
  <c r="J362" i="1"/>
  <c r="J374" i="1"/>
  <c r="J375" i="1"/>
  <c r="J376" i="1"/>
  <c r="J377" i="1"/>
  <c r="J378" i="1"/>
  <c r="J379" i="1"/>
  <c r="J380" i="1"/>
  <c r="J384" i="1"/>
  <c r="J390" i="1"/>
  <c r="J392" i="1"/>
  <c r="J393" i="1"/>
  <c r="J394" i="1"/>
  <c r="J395" i="1"/>
  <c r="J396" i="1"/>
  <c r="J397" i="1"/>
  <c r="J400" i="1"/>
  <c r="J401" i="1"/>
  <c r="J406" i="1"/>
  <c r="J408" i="1"/>
  <c r="J409" i="1"/>
  <c r="J410" i="1"/>
  <c r="J422" i="1"/>
  <c r="J424" i="1"/>
  <c r="J425" i="1"/>
  <c r="J426" i="1"/>
  <c r="J438" i="1"/>
  <c r="J440" i="1"/>
  <c r="J441" i="1"/>
  <c r="J442" i="1"/>
  <c r="J443" i="1"/>
  <c r="J444" i="1"/>
  <c r="J447" i="1"/>
  <c r="J454" i="1"/>
  <c r="J456" i="1"/>
  <c r="J457" i="1"/>
  <c r="J458" i="1"/>
  <c r="J470" i="1"/>
  <c r="J471" i="1"/>
  <c r="J472" i="1"/>
  <c r="J473" i="1"/>
  <c r="J474" i="1"/>
  <c r="J475" i="1"/>
  <c r="J476" i="1"/>
  <c r="J480" i="1"/>
  <c r="J486" i="1"/>
  <c r="J487" i="1"/>
  <c r="J488" i="1"/>
  <c r="J489" i="1"/>
  <c r="J490" i="1"/>
  <c r="J491" i="1"/>
  <c r="J493" i="1"/>
  <c r="J494" i="1"/>
  <c r="J495" i="1"/>
  <c r="J496" i="1"/>
  <c r="J502" i="1"/>
  <c r="J504" i="1"/>
  <c r="J505" i="1"/>
  <c r="J506" i="1"/>
  <c r="J507" i="1"/>
  <c r="J508" i="1"/>
  <c r="J509" i="1"/>
  <c r="J510" i="1"/>
  <c r="J518" i="1"/>
  <c r="J519" i="1"/>
  <c r="J520" i="1"/>
  <c r="J521" i="1"/>
  <c r="J522" i="1"/>
  <c r="J534" i="1"/>
  <c r="J535" i="1"/>
  <c r="J536" i="1"/>
  <c r="J537" i="1"/>
  <c r="J538" i="1"/>
  <c r="J540" i="1"/>
  <c r="J541" i="1"/>
  <c r="J542" i="1"/>
  <c r="J550" i="1"/>
  <c r="J552" i="1"/>
  <c r="J553" i="1"/>
  <c r="J554" i="1"/>
  <c r="J560" i="1"/>
  <c r="J566" i="1"/>
  <c r="J567" i="1"/>
  <c r="J568" i="1"/>
  <c r="J569" i="1"/>
  <c r="J570" i="1"/>
  <c r="J576" i="1"/>
  <c r="J577" i="1"/>
  <c r="J582" i="1"/>
  <c r="J583" i="1"/>
  <c r="J584" i="1"/>
  <c r="J585" i="1"/>
  <c r="J586" i="1"/>
  <c r="J4" i="1"/>
  <c r="J6" i="1"/>
  <c r="J8" i="1"/>
  <c r="J9" i="1"/>
  <c r="J10" i="1"/>
  <c r="F3" i="1"/>
  <c r="E602" i="1"/>
  <c r="E601" i="1"/>
  <c r="B659" i="1" s="1"/>
  <c r="E600" i="1"/>
  <c r="B1103" i="1" l="1"/>
  <c r="C1103" i="1" s="1"/>
  <c r="B892" i="1"/>
  <c r="C892" i="1" s="1"/>
  <c r="B911" i="1"/>
  <c r="C911" i="1" s="1"/>
  <c r="B969" i="1"/>
  <c r="C969" i="1" s="1"/>
  <c r="B1119" i="1"/>
  <c r="C1119" i="1" s="1"/>
  <c r="B988" i="1"/>
  <c r="C988" i="1" s="1"/>
  <c r="B786" i="1"/>
  <c r="C786" i="1" s="1"/>
  <c r="B635" i="1"/>
  <c r="C635" i="1" s="1"/>
  <c r="B1117" i="1"/>
  <c r="C1117" i="1" s="1"/>
  <c r="B1020" i="1"/>
  <c r="C1020" i="1" s="1"/>
  <c r="B865" i="1"/>
  <c r="C865" i="1" s="1"/>
  <c r="B743" i="1"/>
  <c r="C743" i="1" s="1"/>
  <c r="B1111" i="1"/>
  <c r="C1111" i="1" s="1"/>
  <c r="B1045" i="1"/>
  <c r="C1045" i="1" s="1"/>
  <c r="B981" i="1"/>
  <c r="C981" i="1" s="1"/>
  <c r="B900" i="1"/>
  <c r="C900" i="1" s="1"/>
  <c r="B818" i="1"/>
  <c r="C818" i="1" s="1"/>
  <c r="B731" i="1"/>
  <c r="C731" i="1" s="1"/>
  <c r="B623" i="1"/>
  <c r="C623" i="1" s="1"/>
  <c r="B1139" i="1"/>
  <c r="C1139" i="1" s="1"/>
  <c r="B1110" i="1"/>
  <c r="C1110" i="1" s="1"/>
  <c r="B1078" i="1"/>
  <c r="C1078" i="1" s="1"/>
  <c r="B1043" i="1"/>
  <c r="C1043" i="1" s="1"/>
  <c r="B1010" i="1"/>
  <c r="C1010" i="1" s="1"/>
  <c r="B975" i="1"/>
  <c r="C975" i="1" s="1"/>
  <c r="B939" i="1"/>
  <c r="C939" i="1" s="1"/>
  <c r="B896" i="1"/>
  <c r="C896" i="1" s="1"/>
  <c r="B855" i="1"/>
  <c r="C855" i="1" s="1"/>
  <c r="B817" i="1"/>
  <c r="C817" i="1" s="1"/>
  <c r="B772" i="1"/>
  <c r="C772" i="1" s="1"/>
  <c r="B730" i="1"/>
  <c r="C730" i="1" s="1"/>
  <c r="B684" i="1"/>
  <c r="C684" i="1" s="1"/>
  <c r="B612" i="1"/>
  <c r="C612" i="1" s="1"/>
  <c r="B933" i="1"/>
  <c r="C933" i="1" s="1"/>
  <c r="B1084" i="1"/>
  <c r="C1084" i="1" s="1"/>
  <c r="B951" i="1"/>
  <c r="C951" i="1" s="1"/>
  <c r="B744" i="1"/>
  <c r="C744" i="1" s="1"/>
  <c r="B1083" i="1"/>
  <c r="C1083" i="1" s="1"/>
  <c r="B985" i="1"/>
  <c r="C985" i="1" s="1"/>
  <c r="B783" i="1"/>
  <c r="C783" i="1" s="1"/>
  <c r="B1146" i="1"/>
  <c r="C1146" i="1" s="1"/>
  <c r="B1079" i="1"/>
  <c r="C1079" i="1" s="1"/>
  <c r="B1011" i="1"/>
  <c r="C1011" i="1" s="1"/>
  <c r="B945" i="1"/>
  <c r="C945" i="1" s="1"/>
  <c r="B860" i="1"/>
  <c r="C860" i="1" s="1"/>
  <c r="B773" i="1"/>
  <c r="C773" i="1" s="1"/>
  <c r="B685" i="1"/>
  <c r="C685" i="1" s="1"/>
  <c r="B1138" i="1"/>
  <c r="C1138" i="1" s="1"/>
  <c r="B1109" i="1"/>
  <c r="C1109" i="1" s="1"/>
  <c r="B1075" i="1"/>
  <c r="C1075" i="1" s="1"/>
  <c r="B1042" i="1"/>
  <c r="C1042" i="1" s="1"/>
  <c r="B1009" i="1"/>
  <c r="C1009" i="1" s="1"/>
  <c r="B972" i="1"/>
  <c r="C972" i="1" s="1"/>
  <c r="B938" i="1"/>
  <c r="C938" i="1" s="1"/>
  <c r="B895" i="1"/>
  <c r="C895" i="1" s="1"/>
  <c r="B854" i="1"/>
  <c r="C854" i="1" s="1"/>
  <c r="B811" i="1"/>
  <c r="C811" i="1" s="1"/>
  <c r="B769" i="1"/>
  <c r="C769" i="1" s="1"/>
  <c r="B724" i="1"/>
  <c r="C724" i="1" s="1"/>
  <c r="B683" i="1"/>
  <c r="C683" i="1" s="1"/>
  <c r="B609" i="1"/>
  <c r="C609" i="1" s="1"/>
  <c r="B1137" i="1"/>
  <c r="C1137" i="1" s="1"/>
  <c r="B674" i="1"/>
  <c r="C674" i="1" s="1"/>
  <c r="B1074" i="1"/>
  <c r="C1074" i="1" s="1"/>
  <c r="B853" i="1"/>
  <c r="C853" i="1" s="1"/>
  <c r="B1135" i="1"/>
  <c r="C1135" i="1" s="1"/>
  <c r="B1039" i="1"/>
  <c r="C1039" i="1" s="1"/>
  <c r="B891" i="1"/>
  <c r="C891" i="1" s="1"/>
  <c r="B1134" i="1"/>
  <c r="C1134" i="1" s="1"/>
  <c r="B967" i="1"/>
  <c r="C967" i="1" s="1"/>
  <c r="B844" i="1"/>
  <c r="C844" i="1" s="1"/>
  <c r="B671" i="1"/>
  <c r="C671" i="1" s="1"/>
  <c r="B1133" i="1"/>
  <c r="C1133" i="1" s="1"/>
  <c r="B1066" i="1"/>
  <c r="C1066" i="1" s="1"/>
  <c r="B1035" i="1"/>
  <c r="C1035" i="1" s="1"/>
  <c r="B1003" i="1"/>
  <c r="C1003" i="1" s="1"/>
  <c r="B965" i="1"/>
  <c r="C965" i="1" s="1"/>
  <c r="B928" i="1"/>
  <c r="C928" i="1" s="1"/>
  <c r="B883" i="1"/>
  <c r="C883" i="1" s="1"/>
  <c r="B841" i="1"/>
  <c r="C841" i="1" s="1"/>
  <c r="B801" i="1"/>
  <c r="C801" i="1" s="1"/>
  <c r="B761" i="1"/>
  <c r="C761" i="1" s="1"/>
  <c r="B713" i="1"/>
  <c r="C713" i="1" s="1"/>
  <c r="B667" i="1"/>
  <c r="C667" i="1" s="1"/>
  <c r="B1041" i="1"/>
  <c r="C1041" i="1" s="1"/>
  <c r="B675" i="1"/>
  <c r="C675" i="1" s="1"/>
  <c r="B1073" i="1"/>
  <c r="C1073" i="1" s="1"/>
  <c r="B932" i="1"/>
  <c r="C932" i="1" s="1"/>
  <c r="B805" i="1"/>
  <c r="C805" i="1" s="1"/>
  <c r="B800" i="1"/>
  <c r="C800" i="1" s="1"/>
  <c r="B755" i="1"/>
  <c r="C755" i="1" s="1"/>
  <c r="B710" i="1"/>
  <c r="C710" i="1" s="1"/>
  <c r="B660" i="1"/>
  <c r="C660" i="1" s="1"/>
  <c r="B968" i="1"/>
  <c r="C968" i="1" s="1"/>
  <c r="B722" i="1"/>
  <c r="C722" i="1" s="1"/>
  <c r="B1067" i="1"/>
  <c r="C1067" i="1" s="1"/>
  <c r="B890" i="1"/>
  <c r="C890" i="1" s="1"/>
  <c r="B762" i="1"/>
  <c r="C762" i="1" s="1"/>
  <c r="B1096" i="1"/>
  <c r="C1096" i="1" s="1"/>
  <c r="B964" i="1"/>
  <c r="C964" i="1" s="1"/>
  <c r="B927" i="1"/>
  <c r="C927" i="1" s="1"/>
  <c r="B882" i="1"/>
  <c r="C882" i="1" s="1"/>
  <c r="B840" i="1"/>
  <c r="C840" i="1" s="1"/>
  <c r="B1157" i="1"/>
  <c r="C1157" i="1" s="1"/>
  <c r="B1130" i="1"/>
  <c r="C1130" i="1" s="1"/>
  <c r="B1095" i="1"/>
  <c r="C1095" i="1" s="1"/>
  <c r="B1061" i="1"/>
  <c r="C1061" i="1" s="1"/>
  <c r="B1028" i="1"/>
  <c r="C1028" i="1" s="1"/>
  <c r="B1001" i="1"/>
  <c r="C1001" i="1" s="1"/>
  <c r="B963" i="1"/>
  <c r="C963" i="1" s="1"/>
  <c r="B919" i="1"/>
  <c r="C919" i="1" s="1"/>
  <c r="B879" i="1"/>
  <c r="C879" i="1" s="1"/>
  <c r="B837" i="1"/>
  <c r="C837" i="1" s="1"/>
  <c r="B799" i="1"/>
  <c r="C799" i="1" s="1"/>
  <c r="B752" i="1"/>
  <c r="C752" i="1" s="1"/>
  <c r="B709" i="1"/>
  <c r="C709" i="1" s="1"/>
  <c r="B613" i="1"/>
  <c r="C613" i="1" s="1"/>
  <c r="B636" i="1"/>
  <c r="C636" i="1" s="1"/>
  <c r="B672" i="1"/>
  <c r="C672" i="1" s="1"/>
  <c r="B692" i="1"/>
  <c r="C692" i="1" s="1"/>
  <c r="B711" i="1"/>
  <c r="C711" i="1" s="1"/>
  <c r="B732" i="1"/>
  <c r="C732" i="1" s="1"/>
  <c r="B750" i="1"/>
  <c r="C750" i="1" s="1"/>
  <c r="B770" i="1"/>
  <c r="C770" i="1" s="1"/>
  <c r="B788" i="1"/>
  <c r="C788" i="1" s="1"/>
  <c r="B806" i="1"/>
  <c r="C806" i="1" s="1"/>
  <c r="B825" i="1"/>
  <c r="C825" i="1" s="1"/>
  <c r="B842" i="1"/>
  <c r="C842" i="1" s="1"/>
  <c r="B862" i="1"/>
  <c r="C862" i="1" s="1"/>
  <c r="B880" i="1"/>
  <c r="C880" i="1" s="1"/>
  <c r="B898" i="1"/>
  <c r="C898" i="1" s="1"/>
  <c r="B916" i="1"/>
  <c r="C916" i="1" s="1"/>
  <c r="B934" i="1"/>
  <c r="C934" i="1" s="1"/>
  <c r="B953" i="1"/>
  <c r="C953" i="1" s="1"/>
  <c r="B970" i="1"/>
  <c r="C970" i="1" s="1"/>
  <c r="B990" i="1"/>
  <c r="C990" i="1" s="1"/>
  <c r="B1008" i="1"/>
  <c r="C1008" i="1" s="1"/>
  <c r="B1026" i="1"/>
  <c r="C1026" i="1" s="1"/>
  <c r="B1044" i="1"/>
  <c r="C1044" i="1" s="1"/>
  <c r="B1062" i="1"/>
  <c r="C1062" i="1" s="1"/>
  <c r="B1081" i="1"/>
  <c r="C1081" i="1" s="1"/>
  <c r="B1098" i="1"/>
  <c r="C1098" i="1" s="1"/>
  <c r="B1118" i="1"/>
  <c r="C1118" i="1" s="1"/>
  <c r="B1136" i="1"/>
  <c r="C1136" i="1" s="1"/>
  <c r="B1154" i="1"/>
  <c r="C1154" i="1" s="1"/>
  <c r="B608" i="1"/>
  <c r="C608" i="1" s="1"/>
  <c r="B640" i="1"/>
  <c r="C640" i="1" s="1"/>
  <c r="B673" i="1"/>
  <c r="C673" i="1" s="1"/>
  <c r="B693" i="1"/>
  <c r="C693" i="1" s="1"/>
  <c r="B712" i="1"/>
  <c r="C712" i="1" s="1"/>
  <c r="B733" i="1"/>
  <c r="C733" i="1" s="1"/>
  <c r="B751" i="1"/>
  <c r="C751" i="1" s="1"/>
  <c r="B771" i="1"/>
  <c r="C771" i="1" s="1"/>
  <c r="B789" i="1"/>
  <c r="C789" i="1" s="1"/>
  <c r="B809" i="1"/>
  <c r="C809" i="1" s="1"/>
  <c r="B826" i="1"/>
  <c r="C826" i="1" s="1"/>
  <c r="B843" i="1"/>
  <c r="C843" i="1" s="1"/>
  <c r="B863" i="1"/>
  <c r="C863" i="1" s="1"/>
  <c r="B881" i="1"/>
  <c r="C881" i="1" s="1"/>
  <c r="B899" i="1"/>
  <c r="C899" i="1" s="1"/>
  <c r="B917" i="1"/>
  <c r="C917" i="1" s="1"/>
  <c r="B937" i="1"/>
  <c r="C937" i="1" s="1"/>
  <c r="B954" i="1"/>
  <c r="C954" i="1" s="1"/>
  <c r="B971" i="1"/>
  <c r="C971" i="1" s="1"/>
  <c r="B991" i="1"/>
  <c r="C991" i="1" s="1"/>
  <c r="B615" i="1"/>
  <c r="C615" i="1" s="1"/>
  <c r="B644" i="1"/>
  <c r="C644" i="1" s="1"/>
  <c r="B678" i="1"/>
  <c r="C678" i="1" s="1"/>
  <c r="B696" i="1"/>
  <c r="C696" i="1" s="1"/>
  <c r="B717" i="1"/>
  <c r="C717" i="1" s="1"/>
  <c r="B736" i="1"/>
  <c r="C736" i="1" s="1"/>
  <c r="B756" i="1"/>
  <c r="C756" i="1" s="1"/>
  <c r="B774" i="1"/>
  <c r="C774" i="1" s="1"/>
  <c r="B792" i="1"/>
  <c r="C792" i="1" s="1"/>
  <c r="B812" i="1"/>
  <c r="C812" i="1" s="1"/>
  <c r="B829" i="1"/>
  <c r="C829" i="1" s="1"/>
  <c r="B848" i="1"/>
  <c r="C848" i="1" s="1"/>
  <c r="B866" i="1"/>
  <c r="C866" i="1" s="1"/>
  <c r="B885" i="1"/>
  <c r="C885" i="1" s="1"/>
  <c r="B902" i="1"/>
  <c r="C902" i="1" s="1"/>
  <c r="B920" i="1"/>
  <c r="C920" i="1" s="1"/>
  <c r="B940" i="1"/>
  <c r="C940" i="1" s="1"/>
  <c r="B957" i="1"/>
  <c r="C957" i="1" s="1"/>
  <c r="B976" i="1"/>
  <c r="C976" i="1" s="1"/>
  <c r="B994" i="1"/>
  <c r="C994" i="1" s="1"/>
  <c r="B1013" i="1"/>
  <c r="C1013" i="1" s="1"/>
  <c r="B1030" i="1"/>
  <c r="C1030" i="1" s="1"/>
  <c r="B1048" i="1"/>
  <c r="C1048" i="1" s="1"/>
  <c r="B1068" i="1"/>
  <c r="C1068" i="1" s="1"/>
  <c r="B1085" i="1"/>
  <c r="C1085" i="1" s="1"/>
  <c r="B1104" i="1"/>
  <c r="C1104" i="1" s="1"/>
  <c r="B1122" i="1"/>
  <c r="C1122" i="1" s="1"/>
  <c r="B1141" i="1"/>
  <c r="C1141" i="1" s="1"/>
  <c r="B1230" i="1"/>
  <c r="C1230" i="1" s="1"/>
  <c r="B776" i="1"/>
  <c r="C776" i="1" s="1"/>
  <c r="B814" i="1"/>
  <c r="C814" i="1" s="1"/>
  <c r="B850" i="1"/>
  <c r="C850" i="1" s="1"/>
  <c r="B887" i="1"/>
  <c r="C887" i="1" s="1"/>
  <c r="B942" i="1"/>
  <c r="C942" i="1" s="1"/>
  <c r="B978" i="1"/>
  <c r="C978" i="1" s="1"/>
  <c r="B1032" i="1"/>
  <c r="C1032" i="1" s="1"/>
  <c r="B1070" i="1"/>
  <c r="C1070" i="1" s="1"/>
  <c r="B1124" i="1"/>
  <c r="C1124" i="1" s="1"/>
  <c r="B616" i="1"/>
  <c r="C616" i="1" s="1"/>
  <c r="B650" i="1"/>
  <c r="C650" i="1" s="1"/>
  <c r="B679" i="1"/>
  <c r="C679" i="1" s="1"/>
  <c r="B697" i="1"/>
  <c r="C697" i="1" s="1"/>
  <c r="B718" i="1"/>
  <c r="C718" i="1" s="1"/>
  <c r="B737" i="1"/>
  <c r="C737" i="1" s="1"/>
  <c r="B757" i="1"/>
  <c r="C757" i="1" s="1"/>
  <c r="B775" i="1"/>
  <c r="C775" i="1" s="1"/>
  <c r="B795" i="1"/>
  <c r="C795" i="1" s="1"/>
  <c r="B813" i="1"/>
  <c r="C813" i="1" s="1"/>
  <c r="B830" i="1"/>
  <c r="C830" i="1" s="1"/>
  <c r="B849" i="1"/>
  <c r="C849" i="1" s="1"/>
  <c r="B867" i="1"/>
  <c r="C867" i="1" s="1"/>
  <c r="B886" i="1"/>
  <c r="C886" i="1" s="1"/>
  <c r="B903" i="1"/>
  <c r="C903" i="1" s="1"/>
  <c r="B921" i="1"/>
  <c r="C921" i="1" s="1"/>
  <c r="B941" i="1"/>
  <c r="C941" i="1" s="1"/>
  <c r="B958" i="1"/>
  <c r="C958" i="1" s="1"/>
  <c r="B977" i="1"/>
  <c r="C977" i="1" s="1"/>
  <c r="B995" i="1"/>
  <c r="C995" i="1" s="1"/>
  <c r="B1014" i="1"/>
  <c r="C1014" i="1" s="1"/>
  <c r="B1031" i="1"/>
  <c r="C1031" i="1" s="1"/>
  <c r="B1049" i="1"/>
  <c r="C1049" i="1" s="1"/>
  <c r="B1069" i="1"/>
  <c r="C1069" i="1" s="1"/>
  <c r="B1086" i="1"/>
  <c r="C1086" i="1" s="1"/>
  <c r="B1105" i="1"/>
  <c r="C1105" i="1" s="1"/>
  <c r="B1123" i="1"/>
  <c r="C1123" i="1" s="1"/>
  <c r="B1142" i="1"/>
  <c r="C1142" i="1" s="1"/>
  <c r="B738" i="1"/>
  <c r="C738" i="1" s="1"/>
  <c r="B868" i="1"/>
  <c r="C868" i="1" s="1"/>
  <c r="B924" i="1"/>
  <c r="C924" i="1" s="1"/>
  <c r="B959" i="1"/>
  <c r="C959" i="1" s="1"/>
  <c r="B996" i="1"/>
  <c r="C996" i="1" s="1"/>
  <c r="B1052" i="1"/>
  <c r="C1052" i="1" s="1"/>
  <c r="B1087" i="1"/>
  <c r="C1087" i="1" s="1"/>
  <c r="B1143" i="1"/>
  <c r="C1143" i="1" s="1"/>
  <c r="B617" i="1"/>
  <c r="C617" i="1" s="1"/>
  <c r="B651" i="1"/>
  <c r="C651" i="1" s="1"/>
  <c r="B680" i="1"/>
  <c r="C680" i="1" s="1"/>
  <c r="B698" i="1"/>
  <c r="C698" i="1" s="1"/>
  <c r="B719" i="1"/>
  <c r="C719" i="1" s="1"/>
  <c r="B758" i="1"/>
  <c r="C758" i="1" s="1"/>
  <c r="B796" i="1"/>
  <c r="C796" i="1" s="1"/>
  <c r="B831" i="1"/>
  <c r="C831" i="1" s="1"/>
  <c r="B904" i="1"/>
  <c r="C904" i="1" s="1"/>
  <c r="B1015" i="1"/>
  <c r="C1015" i="1" s="1"/>
  <c r="B1106" i="1"/>
  <c r="C1106" i="1" s="1"/>
  <c r="B619" i="1"/>
  <c r="C619" i="1" s="1"/>
  <c r="B656" i="1"/>
  <c r="C656" i="1" s="1"/>
  <c r="B681" i="1"/>
  <c r="C681" i="1" s="1"/>
  <c r="B699" i="1"/>
  <c r="C699" i="1" s="1"/>
  <c r="B720" i="1"/>
  <c r="C720" i="1" s="1"/>
  <c r="B739" i="1"/>
  <c r="C739" i="1" s="1"/>
  <c r="B759" i="1"/>
  <c r="C759" i="1" s="1"/>
  <c r="B777" i="1"/>
  <c r="C777" i="1" s="1"/>
  <c r="B797" i="1"/>
  <c r="C797" i="1" s="1"/>
  <c r="B815" i="1"/>
  <c r="C815" i="1" s="1"/>
  <c r="B832" i="1"/>
  <c r="C832" i="1" s="1"/>
  <c r="B851" i="1"/>
  <c r="C851" i="1" s="1"/>
  <c r="B869" i="1"/>
  <c r="C869" i="1" s="1"/>
  <c r="B888" i="1"/>
  <c r="C888" i="1" s="1"/>
  <c r="B905" i="1"/>
  <c r="C905" i="1" s="1"/>
  <c r="B925" i="1"/>
  <c r="C925" i="1" s="1"/>
  <c r="B943" i="1"/>
  <c r="C943" i="1" s="1"/>
  <c r="B960" i="1"/>
  <c r="C960" i="1" s="1"/>
  <c r="B979" i="1"/>
  <c r="C979" i="1" s="1"/>
  <c r="B997" i="1"/>
  <c r="C997" i="1" s="1"/>
  <c r="B1016" i="1"/>
  <c r="C1016" i="1" s="1"/>
  <c r="B1033" i="1"/>
  <c r="C1033" i="1" s="1"/>
  <c r="B1053" i="1"/>
  <c r="C1053" i="1" s="1"/>
  <c r="B1071" i="1"/>
  <c r="C1071" i="1" s="1"/>
  <c r="B1088" i="1"/>
  <c r="C1088" i="1" s="1"/>
  <c r="B1107" i="1"/>
  <c r="C1107" i="1" s="1"/>
  <c r="B1125" i="1"/>
  <c r="C1125" i="1" s="1"/>
  <c r="B1144" i="1"/>
  <c r="C1144" i="1" s="1"/>
  <c r="B980" i="1"/>
  <c r="C980" i="1" s="1"/>
  <c r="B1034" i="1"/>
  <c r="C1034" i="1" s="1"/>
  <c r="B1072" i="1"/>
  <c r="C1072" i="1" s="1"/>
  <c r="B1108" i="1"/>
  <c r="C1108" i="1" s="1"/>
  <c r="B1145" i="1"/>
  <c r="C1145" i="1" s="1"/>
  <c r="B620" i="1"/>
  <c r="C620" i="1" s="1"/>
  <c r="B657" i="1"/>
  <c r="C657" i="1" s="1"/>
  <c r="B682" i="1"/>
  <c r="C682" i="1" s="1"/>
  <c r="B700" i="1"/>
  <c r="C700" i="1" s="1"/>
  <c r="B721" i="1"/>
  <c r="C721" i="1" s="1"/>
  <c r="B742" i="1"/>
  <c r="C742" i="1" s="1"/>
  <c r="B760" i="1"/>
  <c r="C760" i="1" s="1"/>
  <c r="B778" i="1"/>
  <c r="C778" i="1" s="1"/>
  <c r="B798" i="1"/>
  <c r="C798" i="1" s="1"/>
  <c r="B816" i="1"/>
  <c r="C816" i="1" s="1"/>
  <c r="B834" i="1"/>
  <c r="C834" i="1" s="1"/>
  <c r="B852" i="1"/>
  <c r="C852" i="1" s="1"/>
  <c r="B870" i="1"/>
  <c r="C870" i="1" s="1"/>
  <c r="B889" i="1"/>
  <c r="C889" i="1" s="1"/>
  <c r="B906" i="1"/>
  <c r="C906" i="1" s="1"/>
  <c r="B926" i="1"/>
  <c r="C926" i="1" s="1"/>
  <c r="B944" i="1"/>
  <c r="C944" i="1" s="1"/>
  <c r="B962" i="1"/>
  <c r="C962" i="1" s="1"/>
  <c r="B998" i="1"/>
  <c r="C998" i="1" s="1"/>
  <c r="B1017" i="1"/>
  <c r="C1017" i="1" s="1"/>
  <c r="B1054" i="1"/>
  <c r="C1054" i="1" s="1"/>
  <c r="B1090" i="1"/>
  <c r="C1090" i="1" s="1"/>
  <c r="B1126" i="1"/>
  <c r="C1126" i="1" s="1"/>
  <c r="B628" i="1"/>
  <c r="C628" i="1" s="1"/>
  <c r="B665" i="1"/>
  <c r="C665" i="1" s="1"/>
  <c r="B686" i="1"/>
  <c r="C686" i="1" s="1"/>
  <c r="B707" i="1"/>
  <c r="C707" i="1" s="1"/>
  <c r="B725" i="1"/>
  <c r="C725" i="1" s="1"/>
  <c r="B746" i="1"/>
  <c r="C746" i="1" s="1"/>
  <c r="B764" i="1"/>
  <c r="C764" i="1" s="1"/>
  <c r="B784" i="1"/>
  <c r="C784" i="1" s="1"/>
  <c r="B802" i="1"/>
  <c r="C802" i="1" s="1"/>
  <c r="B821" i="1"/>
  <c r="C821" i="1" s="1"/>
  <c r="B838" i="1"/>
  <c r="C838" i="1" s="1"/>
  <c r="B856" i="1"/>
  <c r="C856" i="1" s="1"/>
  <c r="B876" i="1"/>
  <c r="C876" i="1" s="1"/>
  <c r="B893" i="1"/>
  <c r="C893" i="1" s="1"/>
  <c r="B912" i="1"/>
  <c r="C912" i="1" s="1"/>
  <c r="B930" i="1"/>
  <c r="C930" i="1" s="1"/>
  <c r="B949" i="1"/>
  <c r="C949" i="1" s="1"/>
  <c r="B966" i="1"/>
  <c r="C966" i="1" s="1"/>
  <c r="B984" i="1"/>
  <c r="C984" i="1" s="1"/>
  <c r="B1004" i="1"/>
  <c r="C1004" i="1" s="1"/>
  <c r="B1021" i="1"/>
  <c r="C1021" i="1" s="1"/>
  <c r="B1040" i="1"/>
  <c r="C1040" i="1" s="1"/>
  <c r="B1058" i="1"/>
  <c r="C1058" i="1" s="1"/>
  <c r="B1077" i="1"/>
  <c r="C1077" i="1" s="1"/>
  <c r="B1094" i="1"/>
  <c r="C1094" i="1" s="1"/>
  <c r="B1112" i="1"/>
  <c r="C1112" i="1" s="1"/>
  <c r="B1132" i="1"/>
  <c r="C1132" i="1" s="1"/>
  <c r="B1149" i="1"/>
  <c r="C1149" i="1" s="1"/>
  <c r="B631" i="1"/>
  <c r="C631" i="1" s="1"/>
  <c r="B666" i="1"/>
  <c r="C666" i="1" s="1"/>
  <c r="B687" i="1"/>
  <c r="C687" i="1" s="1"/>
  <c r="B708" i="1"/>
  <c r="C708" i="1" s="1"/>
  <c r="B726" i="1"/>
  <c r="C726" i="1" s="1"/>
  <c r="B747" i="1"/>
  <c r="C747" i="1" s="1"/>
  <c r="B767" i="1"/>
  <c r="C767" i="1" s="1"/>
  <c r="B785" i="1"/>
  <c r="C785" i="1" s="1"/>
  <c r="B803" i="1"/>
  <c r="C803" i="1" s="1"/>
  <c r="B822" i="1"/>
  <c r="C822" i="1" s="1"/>
  <c r="B839" i="1"/>
  <c r="C839" i="1" s="1"/>
  <c r="B857" i="1"/>
  <c r="C857" i="1" s="1"/>
  <c r="B877" i="1"/>
  <c r="C877" i="1" s="1"/>
  <c r="B894" i="1"/>
  <c r="C894" i="1" s="1"/>
  <c r="B913" i="1"/>
  <c r="C913" i="1" s="1"/>
  <c r="B931" i="1"/>
  <c r="C931" i="1" s="1"/>
  <c r="B1036" i="1"/>
  <c r="C1036" i="1" s="1"/>
  <c r="B1065" i="1"/>
  <c r="C1065" i="1" s="1"/>
  <c r="B1129" i="1"/>
  <c r="C1129" i="1" s="1"/>
  <c r="B993" i="1"/>
  <c r="C993" i="1" s="1"/>
  <c r="B918" i="1"/>
  <c r="C918" i="1" s="1"/>
  <c r="B836" i="1"/>
  <c r="C836" i="1" s="1"/>
  <c r="B749" i="1"/>
  <c r="C749" i="1" s="1"/>
  <c r="B706" i="1"/>
  <c r="C706" i="1" s="1"/>
  <c r="B658" i="1"/>
  <c r="C658" i="1" s="1"/>
  <c r="B768" i="1"/>
  <c r="C768" i="1" s="1"/>
  <c r="B763" i="1"/>
  <c r="C763" i="1" s="1"/>
  <c r="B1005" i="1"/>
  <c r="C1005" i="1" s="1"/>
  <c r="B1002" i="1"/>
  <c r="C1002" i="1" s="1"/>
  <c r="B1060" i="1"/>
  <c r="C1060" i="1" s="1"/>
  <c r="B878" i="1"/>
  <c r="C878" i="1" s="1"/>
  <c r="B1155" i="1"/>
  <c r="C1155" i="1" s="1"/>
  <c r="B1092" i="1"/>
  <c r="C1092" i="1" s="1"/>
  <c r="B1024" i="1"/>
  <c r="C1024" i="1" s="1"/>
  <c r="B955" i="1"/>
  <c r="C955" i="1" s="1"/>
  <c r="B915" i="1"/>
  <c r="C915" i="1" s="1"/>
  <c r="B875" i="1"/>
  <c r="C875" i="1" s="1"/>
  <c r="B835" i="1"/>
  <c r="C835" i="1" s="1"/>
  <c r="B643" i="1"/>
  <c r="C643" i="1" s="1"/>
  <c r="B1007" i="1"/>
  <c r="C1007" i="1" s="1"/>
  <c r="B723" i="1"/>
  <c r="C723" i="1" s="1"/>
  <c r="B1100" i="1"/>
  <c r="C1100" i="1" s="1"/>
  <c r="B1006" i="1"/>
  <c r="C1006" i="1" s="1"/>
  <c r="B847" i="1"/>
  <c r="C847" i="1" s="1"/>
  <c r="B1099" i="1"/>
  <c r="C1099" i="1" s="1"/>
  <c r="B929" i="1"/>
  <c r="C929" i="1" s="1"/>
  <c r="B804" i="1"/>
  <c r="C804" i="1" s="1"/>
  <c r="B714" i="1"/>
  <c r="C714" i="1" s="1"/>
  <c r="B1097" i="1"/>
  <c r="C1097" i="1" s="1"/>
  <c r="B1131" i="1"/>
  <c r="C1131" i="1" s="1"/>
  <c r="B1029" i="1"/>
  <c r="C1029" i="1" s="1"/>
  <c r="B1156" i="1"/>
  <c r="C1156" i="1" s="1"/>
  <c r="B1093" i="1"/>
  <c r="C1093" i="1" s="1"/>
  <c r="B1027" i="1"/>
  <c r="C1027" i="1" s="1"/>
  <c r="B956" i="1"/>
  <c r="C956" i="1" s="1"/>
  <c r="B791" i="1"/>
  <c r="C791" i="1" s="1"/>
  <c r="B1121" i="1"/>
  <c r="C1121" i="1" s="1"/>
  <c r="B1059" i="1"/>
  <c r="C1059" i="1" s="1"/>
  <c r="B992" i="1"/>
  <c r="C992" i="1" s="1"/>
  <c r="B790" i="1"/>
  <c r="C790" i="1" s="1"/>
  <c r="B748" i="1"/>
  <c r="C748" i="1" s="1"/>
  <c r="B705" i="1"/>
  <c r="C705" i="1" s="1"/>
  <c r="B1152" i="1"/>
  <c r="C1152" i="1" s="1"/>
  <c r="B1120" i="1"/>
  <c r="C1120" i="1" s="1"/>
  <c r="B1091" i="1"/>
  <c r="C1091" i="1" s="1"/>
  <c r="B1057" i="1"/>
  <c r="C1057" i="1" s="1"/>
  <c r="B1023" i="1"/>
  <c r="C1023" i="1" s="1"/>
  <c r="B989" i="1"/>
  <c r="C989" i="1" s="1"/>
  <c r="B952" i="1"/>
  <c r="C952" i="1" s="1"/>
  <c r="B914" i="1"/>
  <c r="C914" i="1" s="1"/>
  <c r="B874" i="1"/>
  <c r="C874" i="1" s="1"/>
  <c r="B828" i="1"/>
  <c r="C828" i="1" s="1"/>
  <c r="B787" i="1"/>
  <c r="C787" i="1" s="1"/>
  <c r="B745" i="1"/>
  <c r="C745" i="1" s="1"/>
  <c r="B704" i="1"/>
  <c r="C704" i="1" s="1"/>
  <c r="B642" i="1"/>
  <c r="C642" i="1" s="1"/>
  <c r="B827" i="1"/>
  <c r="C827" i="1" s="1"/>
  <c r="B950" i="1"/>
  <c r="C950" i="1" s="1"/>
  <c r="B1056" i="1"/>
  <c r="C1056" i="1" s="1"/>
  <c r="B810" i="1"/>
  <c r="C810" i="1" s="1"/>
  <c r="B1151" i="1"/>
  <c r="C1151" i="1" s="1"/>
  <c r="B1022" i="1"/>
  <c r="C1022" i="1" s="1"/>
  <c r="B873" i="1"/>
  <c r="C873" i="1" s="1"/>
  <c r="B695" i="1"/>
  <c r="C695" i="1" s="1"/>
  <c r="B1150" i="1"/>
  <c r="C1150" i="1" s="1"/>
  <c r="B1055" i="1"/>
  <c r="C1055" i="1" s="1"/>
  <c r="B908" i="1"/>
  <c r="C908" i="1" s="1"/>
  <c r="B824" i="1"/>
  <c r="C824" i="1" s="1"/>
  <c r="B694" i="1"/>
  <c r="C694" i="1" s="1"/>
  <c r="B632" i="1"/>
  <c r="C632" i="1" s="1"/>
  <c r="B1148" i="1"/>
  <c r="C1148" i="1" s="1"/>
  <c r="B1116" i="1"/>
  <c r="C1116" i="1" s="1"/>
  <c r="B1082" i="1"/>
  <c r="C1082" i="1" s="1"/>
  <c r="B1047" i="1"/>
  <c r="C1047" i="1" s="1"/>
  <c r="B1019" i="1"/>
  <c r="C1019" i="1" s="1"/>
  <c r="B983" i="1"/>
  <c r="C983" i="1" s="1"/>
  <c r="B947" i="1"/>
  <c r="C947" i="1" s="1"/>
  <c r="B907" i="1"/>
  <c r="C907" i="1" s="1"/>
  <c r="B864" i="1"/>
  <c r="C864" i="1" s="1"/>
  <c r="B823" i="1"/>
  <c r="C823" i="1" s="1"/>
  <c r="B782" i="1"/>
  <c r="C782" i="1" s="1"/>
  <c r="B735" i="1"/>
  <c r="C735" i="1" s="1"/>
  <c r="B691" i="1"/>
  <c r="C691" i="1" s="1"/>
  <c r="B627" i="1"/>
  <c r="C627" i="1" s="1"/>
  <c r="B1147" i="1"/>
  <c r="C1147" i="1" s="1"/>
  <c r="B1113" i="1"/>
  <c r="C1113" i="1" s="1"/>
  <c r="B1080" i="1"/>
  <c r="C1080" i="1" s="1"/>
  <c r="B1046" i="1"/>
  <c r="C1046" i="1" s="1"/>
  <c r="B1018" i="1"/>
  <c r="C1018" i="1" s="1"/>
  <c r="B982" i="1"/>
  <c r="C982" i="1" s="1"/>
  <c r="B946" i="1"/>
  <c r="C946" i="1" s="1"/>
  <c r="B901" i="1"/>
  <c r="C901" i="1" s="1"/>
  <c r="B861" i="1"/>
  <c r="C861" i="1" s="1"/>
  <c r="B819" i="1"/>
  <c r="C819" i="1" s="1"/>
  <c r="B781" i="1"/>
  <c r="C781" i="1" s="1"/>
  <c r="B734" i="1"/>
  <c r="C734" i="1" s="1"/>
  <c r="B688" i="1"/>
  <c r="C688" i="1" s="1"/>
  <c r="B624" i="1"/>
  <c r="C624" i="1" s="1"/>
  <c r="C659" i="1"/>
  <c r="B669" i="1"/>
  <c r="C669" i="1" s="1"/>
  <c r="B655" i="1"/>
  <c r="C655" i="1" s="1"/>
  <c r="B641" i="1"/>
  <c r="C641" i="1" s="1"/>
  <c r="B626" i="1"/>
  <c r="C626" i="1" s="1"/>
  <c r="B611" i="1"/>
  <c r="C611" i="1" s="1"/>
  <c r="B668" i="1"/>
  <c r="C668" i="1" s="1"/>
  <c r="B652" i="1"/>
  <c r="C652" i="1" s="1"/>
  <c r="B639" i="1"/>
  <c r="C639" i="1" s="1"/>
  <c r="B625" i="1"/>
  <c r="C625" i="1" s="1"/>
  <c r="B610" i="1"/>
  <c r="C610" i="1" s="1"/>
  <c r="B741" i="1"/>
  <c r="C741" i="1" s="1"/>
  <c r="B729" i="1"/>
  <c r="C729" i="1" s="1"/>
  <c r="B716" i="1"/>
  <c r="C716" i="1" s="1"/>
  <c r="B703" i="1"/>
  <c r="C703" i="1" s="1"/>
  <c r="B677" i="1"/>
  <c r="C677" i="1" s="1"/>
  <c r="B664" i="1"/>
  <c r="C664" i="1" s="1"/>
  <c r="B649" i="1"/>
  <c r="C649" i="1" s="1"/>
  <c r="B634" i="1"/>
  <c r="C634" i="1" s="1"/>
  <c r="B1128" i="1"/>
  <c r="C1128" i="1" s="1"/>
  <c r="B1102" i="1"/>
  <c r="C1102" i="1" s="1"/>
  <c r="B1064" i="1"/>
  <c r="C1064" i="1" s="1"/>
  <c r="B1051" i="1"/>
  <c r="C1051" i="1" s="1"/>
  <c r="B1038" i="1"/>
  <c r="C1038" i="1" s="1"/>
  <c r="B1000" i="1"/>
  <c r="C1000" i="1" s="1"/>
  <c r="B987" i="1"/>
  <c r="C987" i="1" s="1"/>
  <c r="B974" i="1"/>
  <c r="C974" i="1" s="1"/>
  <c r="B936" i="1"/>
  <c r="C936" i="1" s="1"/>
  <c r="B923" i="1"/>
  <c r="C923" i="1" s="1"/>
  <c r="B910" i="1"/>
  <c r="C910" i="1" s="1"/>
  <c r="B872" i="1"/>
  <c r="C872" i="1" s="1"/>
  <c r="B859" i="1"/>
  <c r="C859" i="1" s="1"/>
  <c r="B846" i="1"/>
  <c r="C846" i="1" s="1"/>
  <c r="B808" i="1"/>
  <c r="C808" i="1" s="1"/>
  <c r="B794" i="1"/>
  <c r="C794" i="1" s="1"/>
  <c r="B780" i="1"/>
  <c r="C780" i="1" s="1"/>
  <c r="B766" i="1"/>
  <c r="C766" i="1" s="1"/>
  <c r="B754" i="1"/>
  <c r="C754" i="1" s="1"/>
  <c r="B728" i="1"/>
  <c r="C728" i="1" s="1"/>
  <c r="B715" i="1"/>
  <c r="C715" i="1" s="1"/>
  <c r="B702" i="1"/>
  <c r="C702" i="1" s="1"/>
  <c r="B690" i="1"/>
  <c r="C690" i="1" s="1"/>
  <c r="B663" i="1"/>
  <c r="C663" i="1" s="1"/>
  <c r="B648" i="1"/>
  <c r="C648" i="1" s="1"/>
  <c r="B1115" i="1"/>
  <c r="C1115" i="1" s="1"/>
  <c r="B1153" i="1"/>
  <c r="C1153" i="1" s="1"/>
  <c r="B1140" i="1"/>
  <c r="C1140" i="1" s="1"/>
  <c r="B1127" i="1"/>
  <c r="C1127" i="1" s="1"/>
  <c r="B1114" i="1"/>
  <c r="C1114" i="1" s="1"/>
  <c r="B1101" i="1"/>
  <c r="C1101" i="1" s="1"/>
  <c r="B1089" i="1"/>
  <c r="C1089" i="1" s="1"/>
  <c r="B1076" i="1"/>
  <c r="C1076" i="1" s="1"/>
  <c r="B1063" i="1"/>
  <c r="C1063" i="1" s="1"/>
  <c r="B1050" i="1"/>
  <c r="C1050" i="1" s="1"/>
  <c r="B1037" i="1"/>
  <c r="C1037" i="1" s="1"/>
  <c r="B1025" i="1"/>
  <c r="C1025" i="1" s="1"/>
  <c r="B1012" i="1"/>
  <c r="C1012" i="1" s="1"/>
  <c r="B999" i="1"/>
  <c r="C999" i="1" s="1"/>
  <c r="B986" i="1"/>
  <c r="C986" i="1" s="1"/>
  <c r="B973" i="1"/>
  <c r="C973" i="1" s="1"/>
  <c r="B961" i="1"/>
  <c r="C961" i="1" s="1"/>
  <c r="B948" i="1"/>
  <c r="C948" i="1" s="1"/>
  <c r="B935" i="1"/>
  <c r="C935" i="1" s="1"/>
  <c r="B922" i="1"/>
  <c r="C922" i="1" s="1"/>
  <c r="B909" i="1"/>
  <c r="C909" i="1" s="1"/>
  <c r="B897" i="1"/>
  <c r="C897" i="1" s="1"/>
  <c r="B884" i="1"/>
  <c r="C884" i="1" s="1"/>
  <c r="B871" i="1"/>
  <c r="C871" i="1" s="1"/>
  <c r="B858" i="1"/>
  <c r="C858" i="1" s="1"/>
  <c r="B845" i="1"/>
  <c r="C845" i="1" s="1"/>
  <c r="B833" i="1"/>
  <c r="C833" i="1" s="1"/>
  <c r="B820" i="1"/>
  <c r="C820" i="1" s="1"/>
  <c r="B807" i="1"/>
  <c r="C807" i="1" s="1"/>
  <c r="B793" i="1"/>
  <c r="C793" i="1" s="1"/>
  <c r="B779" i="1"/>
  <c r="C779" i="1" s="1"/>
  <c r="B765" i="1"/>
  <c r="C765" i="1" s="1"/>
  <c r="B753" i="1"/>
  <c r="C753" i="1" s="1"/>
  <c r="B740" i="1"/>
  <c r="C740" i="1" s="1"/>
  <c r="B727" i="1"/>
  <c r="C727" i="1" s="1"/>
  <c r="B701" i="1"/>
  <c r="C701" i="1" s="1"/>
  <c r="B689" i="1"/>
  <c r="C689" i="1" s="1"/>
  <c r="B676" i="1"/>
  <c r="C676" i="1" s="1"/>
  <c r="B647" i="1"/>
  <c r="C647" i="1" s="1"/>
  <c r="B633" i="1"/>
  <c r="C633" i="1" s="1"/>
  <c r="B618" i="1"/>
  <c r="C618" i="1" s="1"/>
  <c r="B670" i="1"/>
  <c r="C670" i="1" s="1"/>
  <c r="B662" i="1"/>
  <c r="C662" i="1" s="1"/>
  <c r="B654" i="1"/>
  <c r="C654" i="1" s="1"/>
  <c r="B646" i="1"/>
  <c r="C646" i="1" s="1"/>
  <c r="B638" i="1"/>
  <c r="C638" i="1" s="1"/>
  <c r="B630" i="1"/>
  <c r="C630" i="1" s="1"/>
  <c r="B622" i="1"/>
  <c r="C622" i="1" s="1"/>
  <c r="B614" i="1"/>
  <c r="C614" i="1" s="1"/>
  <c r="B661" i="1"/>
  <c r="C661" i="1" s="1"/>
  <c r="B653" i="1"/>
  <c r="C653" i="1" s="1"/>
  <c r="B645" i="1"/>
  <c r="C645" i="1" s="1"/>
  <c r="B637" i="1"/>
  <c r="C637" i="1" s="1"/>
  <c r="B629" i="1"/>
  <c r="C629" i="1" s="1"/>
  <c r="B621" i="1"/>
  <c r="C621" i="1" s="1"/>
  <c r="B1526" i="1"/>
  <c r="C1526" i="1" s="1"/>
  <c r="B1518" i="1"/>
  <c r="C1518" i="1" s="1"/>
  <c r="B1517" i="1"/>
  <c r="C1517" i="1" s="1"/>
  <c r="B1484" i="1"/>
  <c r="C1484" i="1" s="1"/>
  <c r="B1359" i="1"/>
  <c r="C1359" i="1" s="1"/>
  <c r="B1358" i="1"/>
  <c r="C1358" i="1" s="1"/>
  <c r="B1560" i="1"/>
  <c r="C1560" i="1" s="1"/>
  <c r="B1307" i="1"/>
  <c r="C1307" i="1" s="1"/>
  <c r="B1229" i="1"/>
  <c r="C1229" i="1" s="1"/>
  <c r="B1483" i="1"/>
  <c r="C1483" i="1" s="1"/>
  <c r="B1482" i="1"/>
  <c r="C1482" i="1" s="1"/>
  <c r="B1449" i="1"/>
  <c r="C1449" i="1" s="1"/>
  <c r="B1447" i="1"/>
  <c r="C1447" i="1" s="1"/>
  <c r="B1445" i="1"/>
  <c r="C1445" i="1" s="1"/>
  <c r="B1405" i="1"/>
  <c r="C1405" i="1" s="1"/>
  <c r="B1306" i="1"/>
  <c r="C1306" i="1" s="1"/>
  <c r="B1594" i="1"/>
  <c r="C1594" i="1" s="1"/>
  <c r="B1403" i="1"/>
  <c r="C1403" i="1" s="1"/>
  <c r="B1592" i="1"/>
  <c r="C1592" i="1" s="1"/>
  <c r="B1590" i="1"/>
  <c r="C1590" i="1" s="1"/>
  <c r="B1559" i="1"/>
  <c r="C1559" i="1" s="1"/>
  <c r="B1552" i="1"/>
  <c r="C1552" i="1" s="1"/>
  <c r="B1193" i="1"/>
  <c r="C1193" i="1" s="1"/>
  <c r="B1232" i="1"/>
  <c r="C1232" i="1" s="1"/>
  <c r="B1280" i="1"/>
  <c r="C1280" i="1" s="1"/>
  <c r="B1308" i="1"/>
  <c r="C1308" i="1" s="1"/>
  <c r="B1361" i="1"/>
  <c r="C1361" i="1" s="1"/>
  <c r="B1383" i="1"/>
  <c r="C1383" i="1" s="1"/>
  <c r="B1407" i="1"/>
  <c r="C1407" i="1" s="1"/>
  <c r="B1430" i="1"/>
  <c r="C1430" i="1" s="1"/>
  <c r="B1451" i="1"/>
  <c r="C1451" i="1" s="1"/>
  <c r="B1476" i="1"/>
  <c r="C1476" i="1" s="1"/>
  <c r="B1498" i="1"/>
  <c r="C1498" i="1" s="1"/>
  <c r="B1520" i="1"/>
  <c r="C1520" i="1" s="1"/>
  <c r="B1543" i="1"/>
  <c r="C1543" i="1" s="1"/>
  <c r="B1566" i="1"/>
  <c r="C1566" i="1" s="1"/>
  <c r="B1586" i="1"/>
  <c r="C1586" i="1" s="1"/>
  <c r="B1194" i="1"/>
  <c r="C1194" i="1" s="1"/>
  <c r="B1236" i="1"/>
  <c r="C1236" i="1" s="1"/>
  <c r="B1281" i="1"/>
  <c r="C1281" i="1" s="1"/>
  <c r="B1340" i="1"/>
  <c r="C1340" i="1" s="1"/>
  <c r="B1363" i="1"/>
  <c r="C1363" i="1" s="1"/>
  <c r="B1384" i="1"/>
  <c r="C1384" i="1" s="1"/>
  <c r="B1409" i="1"/>
  <c r="C1409" i="1" s="1"/>
  <c r="B1453" i="1"/>
  <c r="C1453" i="1" s="1"/>
  <c r="B1478" i="1"/>
  <c r="C1478" i="1" s="1"/>
  <c r="B1499" i="1"/>
  <c r="C1499" i="1" s="1"/>
  <c r="B1522" i="1"/>
  <c r="C1522" i="1" s="1"/>
  <c r="B1544" i="1"/>
  <c r="C1544" i="1" s="1"/>
  <c r="B1587" i="1"/>
  <c r="C1587" i="1" s="1"/>
  <c r="B1242" i="1"/>
  <c r="C1242" i="1" s="1"/>
  <c r="B1310" i="1"/>
  <c r="C1310" i="1" s="1"/>
  <c r="B1365" i="1"/>
  <c r="C1365" i="1" s="1"/>
  <c r="B1411" i="1"/>
  <c r="C1411" i="1" s="1"/>
  <c r="B1433" i="1"/>
  <c r="C1433" i="1" s="1"/>
  <c r="B1479" i="1"/>
  <c r="C1479" i="1" s="1"/>
  <c r="B1500" i="1"/>
  <c r="C1500" i="1" s="1"/>
  <c r="B1545" i="1"/>
  <c r="C1545" i="1" s="1"/>
  <c r="B1568" i="1"/>
  <c r="C1568" i="1" s="1"/>
  <c r="B1198" i="1"/>
  <c r="C1198" i="1" s="1"/>
  <c r="B1311" i="1"/>
  <c r="C1311" i="1" s="1"/>
  <c r="B1366" i="1"/>
  <c r="C1366" i="1" s="1"/>
  <c r="B1386" i="1"/>
  <c r="C1386" i="1" s="1"/>
  <c r="B1434" i="1"/>
  <c r="C1434" i="1" s="1"/>
  <c r="B1309" i="1"/>
  <c r="C1309" i="1" s="1"/>
  <c r="B1431" i="1"/>
  <c r="C1431" i="1" s="1"/>
  <c r="B1567" i="1"/>
  <c r="C1567" i="1" s="1"/>
  <c r="B1158" i="1"/>
  <c r="C1158" i="1" s="1"/>
  <c r="B1195" i="1"/>
  <c r="C1195" i="1" s="1"/>
  <c r="B1282" i="1"/>
  <c r="C1282" i="1" s="1"/>
  <c r="B1341" i="1"/>
  <c r="C1341" i="1" s="1"/>
  <c r="B1385" i="1"/>
  <c r="C1385" i="1" s="1"/>
  <c r="B1454" i="1"/>
  <c r="C1454" i="1" s="1"/>
  <c r="B1523" i="1"/>
  <c r="C1523" i="1" s="1"/>
  <c r="B1589" i="1"/>
  <c r="C1589" i="1" s="1"/>
  <c r="B1159" i="1"/>
  <c r="C1159" i="1" s="1"/>
  <c r="B1244" i="1"/>
  <c r="C1244" i="1" s="1"/>
  <c r="B1284" i="1"/>
  <c r="C1284" i="1" s="1"/>
  <c r="B1342" i="1"/>
  <c r="C1342" i="1" s="1"/>
  <c r="B1172" i="1"/>
  <c r="C1172" i="1" s="1"/>
  <c r="B1222" i="1"/>
  <c r="C1222" i="1" s="1"/>
  <c r="B1257" i="1"/>
  <c r="C1257" i="1" s="1"/>
  <c r="B1291" i="1"/>
  <c r="C1291" i="1" s="1"/>
  <c r="B1326" i="1"/>
  <c r="C1326" i="1" s="1"/>
  <c r="B1350" i="1"/>
  <c r="C1350" i="1" s="1"/>
  <c r="B1372" i="1"/>
  <c r="C1372" i="1" s="1"/>
  <c r="B1397" i="1"/>
  <c r="C1397" i="1" s="1"/>
  <c r="B1419" i="1"/>
  <c r="C1419" i="1" s="1"/>
  <c r="B1439" i="1"/>
  <c r="C1439" i="1" s="1"/>
  <c r="B1464" i="1"/>
  <c r="C1464" i="1" s="1"/>
  <c r="B1485" i="1"/>
  <c r="C1485" i="1" s="1"/>
  <c r="B1510" i="1"/>
  <c r="C1510" i="1" s="1"/>
  <c r="B1531" i="1"/>
  <c r="C1531" i="1" s="1"/>
  <c r="B1554" i="1"/>
  <c r="C1554" i="1" s="1"/>
  <c r="B1578" i="1"/>
  <c r="C1578" i="1" s="1"/>
  <c r="B1597" i="1"/>
  <c r="C1597" i="1" s="1"/>
  <c r="B1173" i="1"/>
  <c r="C1173" i="1" s="1"/>
  <c r="B1224" i="1"/>
  <c r="C1224" i="1" s="1"/>
  <c r="B1260" i="1"/>
  <c r="C1260" i="1" s="1"/>
  <c r="B1292" i="1"/>
  <c r="C1292" i="1" s="1"/>
  <c r="B1327" i="1"/>
  <c r="C1327" i="1" s="1"/>
  <c r="B1351" i="1"/>
  <c r="C1351" i="1" s="1"/>
  <c r="B1374" i="1"/>
  <c r="C1374" i="1" s="1"/>
  <c r="B1398" i="1"/>
  <c r="C1398" i="1" s="1"/>
  <c r="B1421" i="1"/>
  <c r="C1421" i="1" s="1"/>
  <c r="B1440" i="1"/>
  <c r="C1440" i="1" s="1"/>
  <c r="B1465" i="1"/>
  <c r="C1465" i="1" s="1"/>
  <c r="B1486" i="1"/>
  <c r="C1486" i="1" s="1"/>
  <c r="B1511" i="1"/>
  <c r="C1511" i="1" s="1"/>
  <c r="B1532" i="1"/>
  <c r="C1532" i="1" s="1"/>
  <c r="B1555" i="1"/>
  <c r="C1555" i="1" s="1"/>
  <c r="B1579" i="1"/>
  <c r="C1579" i="1" s="1"/>
  <c r="B1598" i="1"/>
  <c r="C1598" i="1" s="1"/>
  <c r="B1174" i="1"/>
  <c r="C1174" i="1" s="1"/>
  <c r="B1225" i="1"/>
  <c r="C1225" i="1" s="1"/>
  <c r="B1263" i="1"/>
  <c r="C1263" i="1" s="1"/>
  <c r="B1296" i="1"/>
  <c r="C1296" i="1" s="1"/>
  <c r="B1328" i="1"/>
  <c r="C1328" i="1" s="1"/>
  <c r="B1352" i="1"/>
  <c r="C1352" i="1" s="1"/>
  <c r="B1376" i="1"/>
  <c r="C1376" i="1" s="1"/>
  <c r="B1399" i="1"/>
  <c r="C1399" i="1" s="1"/>
  <c r="B1423" i="1"/>
  <c r="C1423" i="1" s="1"/>
  <c r="B1443" i="1"/>
  <c r="C1443" i="1" s="1"/>
  <c r="B1466" i="1"/>
  <c r="C1466" i="1" s="1"/>
  <c r="B1487" i="1"/>
  <c r="C1487" i="1" s="1"/>
  <c r="B1512" i="1"/>
  <c r="C1512" i="1" s="1"/>
  <c r="B1535" i="1"/>
  <c r="C1535" i="1" s="1"/>
  <c r="B1558" i="1"/>
  <c r="C1558" i="1" s="1"/>
  <c r="B1580" i="1"/>
  <c r="C1580" i="1" s="1"/>
  <c r="B1599" i="1"/>
  <c r="C1599" i="1" s="1"/>
  <c r="B1177" i="1"/>
  <c r="C1177" i="1" s="1"/>
  <c r="B1226" i="1"/>
  <c r="C1226" i="1" s="1"/>
  <c r="B1264" i="1"/>
  <c r="C1264" i="1" s="1"/>
  <c r="B1300" i="1"/>
  <c r="C1300" i="1" s="1"/>
  <c r="B1329" i="1"/>
  <c r="C1329" i="1" s="1"/>
  <c r="B1353" i="1"/>
  <c r="C1353" i="1" s="1"/>
  <c r="B1378" i="1"/>
  <c r="C1378" i="1" s="1"/>
  <c r="B1400" i="1"/>
  <c r="C1400" i="1" s="1"/>
  <c r="B1424" i="1"/>
  <c r="C1424" i="1" s="1"/>
  <c r="B1444" i="1"/>
  <c r="C1444" i="1" s="1"/>
  <c r="B1585" i="1"/>
  <c r="C1585" i="1" s="1"/>
  <c r="B1551" i="1"/>
  <c r="C1551" i="1" s="1"/>
  <c r="B1481" i="1"/>
  <c r="C1481" i="1" s="1"/>
  <c r="B1438" i="1"/>
  <c r="C1438" i="1" s="1"/>
  <c r="B1401" i="1"/>
  <c r="C1401" i="1" s="1"/>
  <c r="B1303" i="1"/>
  <c r="C1303" i="1" s="1"/>
  <c r="B1227" i="1"/>
  <c r="C1227" i="1" s="1"/>
  <c r="B1584" i="1"/>
  <c r="C1584" i="1" s="1"/>
  <c r="B1515" i="1"/>
  <c r="C1515" i="1" s="1"/>
  <c r="B1396" i="1"/>
  <c r="C1396" i="1" s="1"/>
  <c r="B1290" i="1"/>
  <c r="C1290" i="1" s="1"/>
  <c r="B1547" i="1"/>
  <c r="C1547" i="1" s="1"/>
  <c r="B1436" i="1"/>
  <c r="C1436" i="1" s="1"/>
  <c r="B1347" i="1"/>
  <c r="C1347" i="1" s="1"/>
  <c r="B1208" i="1"/>
  <c r="C1208" i="1" s="1"/>
  <c r="B1582" i="1"/>
  <c r="C1582" i="1" s="1"/>
  <c r="B1509" i="1"/>
  <c r="C1509" i="1" s="1"/>
  <c r="B1394" i="1"/>
  <c r="C1394" i="1" s="1"/>
  <c r="B1205" i="1"/>
  <c r="C1205" i="1" s="1"/>
  <c r="B1581" i="1"/>
  <c r="C1581" i="1" s="1"/>
  <c r="B1505" i="1"/>
  <c r="C1505" i="1" s="1"/>
  <c r="B1393" i="1"/>
  <c r="C1393" i="1" s="1"/>
  <c r="B1286" i="1"/>
  <c r="C1286" i="1" s="1"/>
  <c r="B1539" i="1"/>
  <c r="C1539" i="1" s="1"/>
  <c r="B1468" i="1"/>
  <c r="C1468" i="1" s="1"/>
  <c r="B1339" i="1"/>
  <c r="C1339" i="1" s="1"/>
  <c r="B1277" i="1"/>
  <c r="C1277" i="1" s="1"/>
  <c r="B1538" i="1"/>
  <c r="C1538" i="1" s="1"/>
  <c r="B1467" i="1"/>
  <c r="C1467" i="1" s="1"/>
  <c r="B1335" i="1"/>
  <c r="C1335" i="1" s="1"/>
  <c r="B1192" i="1"/>
  <c r="C1192" i="1" s="1"/>
  <c r="B1603" i="1"/>
  <c r="C1603" i="1" s="1"/>
  <c r="B1537" i="1"/>
  <c r="C1537" i="1" s="1"/>
  <c r="B1530" i="1"/>
  <c r="C1530" i="1" s="1"/>
  <c r="B1416" i="1"/>
  <c r="C1416" i="1" s="1"/>
  <c r="B1255" i="1"/>
  <c r="C1255" i="1" s="1"/>
  <c r="B1600" i="1"/>
  <c r="C1600" i="1" s="1"/>
  <c r="B1415" i="1"/>
  <c r="C1415" i="1" s="1"/>
  <c r="B1253" i="1"/>
  <c r="C1253" i="1" s="1"/>
  <c r="B1402" i="1"/>
  <c r="C1402" i="1" s="1"/>
  <c r="B1357" i="1"/>
  <c r="C1357" i="1" s="1"/>
  <c r="B1305" i="1"/>
  <c r="C1305" i="1" s="1"/>
  <c r="B1228" i="1"/>
  <c r="C1228" i="1" s="1"/>
  <c r="B1516" i="1"/>
  <c r="C1516" i="1" s="1"/>
  <c r="B1356" i="1"/>
  <c r="C1356" i="1" s="1"/>
  <c r="B1480" i="1"/>
  <c r="C1480" i="1" s="1"/>
  <c r="B1209" i="1"/>
  <c r="C1209" i="1" s="1"/>
  <c r="B1513" i="1"/>
  <c r="C1513" i="1" s="1"/>
  <c r="B1435" i="1"/>
  <c r="C1435" i="1" s="1"/>
  <c r="B1429" i="1"/>
  <c r="C1429" i="1" s="1"/>
  <c r="B1428" i="1"/>
  <c r="C1428" i="1" s="1"/>
  <c r="B1381" i="1"/>
  <c r="C1381" i="1" s="1"/>
  <c r="B1573" i="1"/>
  <c r="C1573" i="1" s="1"/>
  <c r="B1501" i="1"/>
  <c r="C1501" i="1" s="1"/>
  <c r="B1462" i="1"/>
  <c r="C1462" i="1" s="1"/>
  <c r="B1425" i="1"/>
  <c r="C1425" i="1" s="1"/>
  <c r="B1380" i="1"/>
  <c r="C1380" i="1" s="1"/>
  <c r="B1333" i="1"/>
  <c r="C1333" i="1" s="1"/>
  <c r="B1266" i="1"/>
  <c r="C1266" i="1" s="1"/>
  <c r="B1191" i="1"/>
  <c r="C1191" i="1" s="1"/>
  <c r="B1602" i="1"/>
  <c r="C1602" i="1" s="1"/>
  <c r="B1536" i="1"/>
  <c r="C1536" i="1" s="1"/>
  <c r="B1497" i="1"/>
  <c r="C1497" i="1" s="1"/>
  <c r="B1379" i="1"/>
  <c r="C1379" i="1" s="1"/>
  <c r="B1601" i="1"/>
  <c r="C1601" i="1" s="1"/>
  <c r="B1459" i="1"/>
  <c r="C1459" i="1" s="1"/>
  <c r="B1325" i="1"/>
  <c r="C1325" i="1" s="1"/>
  <c r="B1529" i="1"/>
  <c r="C1529" i="1" s="1"/>
  <c r="B1494" i="1"/>
  <c r="C1494" i="1" s="1"/>
  <c r="B1369" i="1"/>
  <c r="C1369" i="1" s="1"/>
  <c r="B1167" i="1"/>
  <c r="C1167" i="1" s="1"/>
  <c r="B1562" i="1"/>
  <c r="C1562" i="1" s="1"/>
  <c r="B1528" i="1"/>
  <c r="C1528" i="1" s="1"/>
  <c r="B1493" i="1"/>
  <c r="C1493" i="1" s="1"/>
  <c r="B1455" i="1"/>
  <c r="C1455" i="1" s="1"/>
  <c r="B1414" i="1"/>
  <c r="C1414" i="1" s="1"/>
  <c r="B1368" i="1"/>
  <c r="C1368" i="1" s="1"/>
  <c r="B1321" i="1"/>
  <c r="C1321" i="1" s="1"/>
  <c r="B1251" i="1"/>
  <c r="C1251" i="1" s="1"/>
  <c r="B1163" i="1"/>
  <c r="C1163" i="1" s="1"/>
  <c r="B1549" i="1"/>
  <c r="C1549" i="1" s="1"/>
  <c r="B1437" i="1"/>
  <c r="C1437" i="1" s="1"/>
  <c r="B1349" i="1"/>
  <c r="C1349" i="1" s="1"/>
  <c r="B1583" i="1"/>
  <c r="C1583" i="1" s="1"/>
  <c r="B1474" i="1"/>
  <c r="C1474" i="1" s="1"/>
  <c r="B1395" i="1"/>
  <c r="C1395" i="1" s="1"/>
  <c r="B1289" i="1"/>
  <c r="C1289" i="1" s="1"/>
  <c r="B1546" i="1"/>
  <c r="C1546" i="1" s="1"/>
  <c r="B1470" i="1"/>
  <c r="C1470" i="1" s="1"/>
  <c r="B1344" i="1"/>
  <c r="C1344" i="1" s="1"/>
  <c r="B1288" i="1"/>
  <c r="C1288" i="1" s="1"/>
  <c r="B1542" i="1"/>
  <c r="C1542" i="1" s="1"/>
  <c r="B1469" i="1"/>
  <c r="C1469" i="1" s="1"/>
  <c r="B1343" i="1"/>
  <c r="C1343" i="1" s="1"/>
  <c r="B1204" i="1"/>
  <c r="C1204" i="1" s="1"/>
  <c r="B1576" i="1"/>
  <c r="C1576" i="1" s="1"/>
  <c r="B1503" i="1"/>
  <c r="C1503" i="1" s="1"/>
  <c r="B1382" i="1"/>
  <c r="C1382" i="1" s="1"/>
  <c r="B1575" i="1"/>
  <c r="C1575" i="1" s="1"/>
  <c r="B1502" i="1"/>
  <c r="C1502" i="1" s="1"/>
  <c r="B1427" i="1"/>
  <c r="C1427" i="1" s="1"/>
  <c r="B1275" i="1"/>
  <c r="C1275" i="1" s="1"/>
  <c r="B1570" i="1"/>
  <c r="C1570" i="1" s="1"/>
  <c r="B1460" i="1"/>
  <c r="C1460" i="1" s="1"/>
  <c r="B1417" i="1"/>
  <c r="C1417" i="1" s="1"/>
  <c r="B1331" i="1"/>
  <c r="C1331" i="1" s="1"/>
  <c r="B1265" i="1"/>
  <c r="C1265" i="1" s="1"/>
  <c r="B1178" i="1"/>
  <c r="C1178" i="1" s="1"/>
  <c r="B1569" i="1"/>
  <c r="C1569" i="1" s="1"/>
  <c r="B1496" i="1"/>
  <c r="C1496" i="1" s="1"/>
  <c r="B1370" i="1"/>
  <c r="C1370" i="1" s="1"/>
  <c r="B1171" i="1"/>
  <c r="C1171" i="1" s="1"/>
  <c r="B1565" i="1"/>
  <c r="C1565" i="1" s="1"/>
  <c r="B1458" i="1"/>
  <c r="C1458" i="1" s="1"/>
  <c r="B1322" i="1"/>
  <c r="C1322" i="1" s="1"/>
  <c r="B1596" i="1"/>
  <c r="C1596" i="1" s="1"/>
  <c r="B1595" i="1"/>
  <c r="C1595" i="1" s="1"/>
  <c r="B1561" i="1"/>
  <c r="C1561" i="1" s="1"/>
  <c r="B1527" i="1"/>
  <c r="C1527" i="1" s="1"/>
  <c r="B1488" i="1"/>
  <c r="C1488" i="1" s="1"/>
  <c r="B1450" i="1"/>
  <c r="C1450" i="1" s="1"/>
  <c r="B1413" i="1"/>
  <c r="C1413" i="1" s="1"/>
  <c r="B1316" i="1"/>
  <c r="C1316" i="1" s="1"/>
  <c r="B1250" i="1"/>
  <c r="C1250" i="1" s="1"/>
  <c r="B1160" i="1"/>
  <c r="C1160" i="1" s="1"/>
  <c r="B1274" i="1"/>
  <c r="C1274" i="1" s="1"/>
  <c r="B1249" i="1"/>
  <c r="C1249" i="1" s="1"/>
  <c r="B1221" i="1"/>
  <c r="C1221" i="1" s="1"/>
  <c r="B1188" i="1"/>
  <c r="C1188" i="1" s="1"/>
  <c r="B1273" i="1"/>
  <c r="C1273" i="1" s="1"/>
  <c r="B1248" i="1"/>
  <c r="C1248" i="1" s="1"/>
  <c r="B1217" i="1"/>
  <c r="C1217" i="1" s="1"/>
  <c r="B1182" i="1"/>
  <c r="C1182" i="1" s="1"/>
  <c r="B1271" i="1"/>
  <c r="C1271" i="1" s="1"/>
  <c r="B1247" i="1"/>
  <c r="C1247" i="1" s="1"/>
  <c r="B1215" i="1"/>
  <c r="C1215" i="1" s="1"/>
  <c r="B1180" i="1"/>
  <c r="C1180" i="1" s="1"/>
  <c r="B1593" i="1"/>
  <c r="C1593" i="1" s="1"/>
  <c r="B1574" i="1"/>
  <c r="C1574" i="1" s="1"/>
  <c r="B1553" i="1"/>
  <c r="C1553" i="1" s="1"/>
  <c r="B1533" i="1"/>
  <c r="C1533" i="1" s="1"/>
  <c r="B1514" i="1"/>
  <c r="C1514" i="1" s="1"/>
  <c r="B1495" i="1"/>
  <c r="C1495" i="1" s="1"/>
  <c r="B1471" i="1"/>
  <c r="C1471" i="1" s="1"/>
  <c r="B1452" i="1"/>
  <c r="C1452" i="1" s="1"/>
  <c r="B1432" i="1"/>
  <c r="C1432" i="1" s="1"/>
  <c r="B1412" i="1"/>
  <c r="C1412" i="1" s="1"/>
  <c r="B1387" i="1"/>
  <c r="C1387" i="1" s="1"/>
  <c r="B1367" i="1"/>
  <c r="C1367" i="1" s="1"/>
  <c r="B1346" i="1"/>
  <c r="C1346" i="1" s="1"/>
  <c r="B1324" i="1"/>
  <c r="C1324" i="1" s="1"/>
  <c r="B1293" i="1"/>
  <c r="C1293" i="1" s="1"/>
  <c r="B1269" i="1"/>
  <c r="C1269" i="1" s="1"/>
  <c r="B1245" i="1"/>
  <c r="C1245" i="1" s="1"/>
  <c r="B1212" i="1"/>
  <c r="C1212" i="1" s="1"/>
  <c r="B1179" i="1"/>
  <c r="C1179" i="1" s="1"/>
  <c r="B1206" i="1"/>
  <c r="C1206" i="1" s="1"/>
  <c r="B1176" i="1"/>
  <c r="C1176" i="1" s="1"/>
  <c r="B1606" i="1"/>
  <c r="C1606" i="1" s="1"/>
  <c r="B1572" i="1"/>
  <c r="C1572" i="1" s="1"/>
  <c r="B1557" i="1"/>
  <c r="C1557" i="1" s="1"/>
  <c r="B1541" i="1"/>
  <c r="C1541" i="1" s="1"/>
  <c r="B1525" i="1"/>
  <c r="C1525" i="1" s="1"/>
  <c r="B1508" i="1"/>
  <c r="C1508" i="1" s="1"/>
  <c r="B1491" i="1"/>
  <c r="C1491" i="1" s="1"/>
  <c r="B1473" i="1"/>
  <c r="C1473" i="1" s="1"/>
  <c r="B1457" i="1"/>
  <c r="C1457" i="1" s="1"/>
  <c r="B1442" i="1"/>
  <c r="C1442" i="1" s="1"/>
  <c r="B1391" i="1"/>
  <c r="C1391" i="1" s="1"/>
  <c r="B1355" i="1"/>
  <c r="C1355" i="1" s="1"/>
  <c r="B1338" i="1"/>
  <c r="C1338" i="1" s="1"/>
  <c r="B1320" i="1"/>
  <c r="C1320" i="1" s="1"/>
  <c r="B1279" i="1"/>
  <c r="C1279" i="1" s="1"/>
  <c r="B1262" i="1"/>
  <c r="C1262" i="1" s="1"/>
  <c r="B1241" i="1"/>
  <c r="C1241" i="1" s="1"/>
  <c r="B1214" i="1"/>
  <c r="C1214" i="1" s="1"/>
  <c r="B1190" i="1"/>
  <c r="C1190" i="1" s="1"/>
  <c r="B1165" i="1"/>
  <c r="C1165" i="1" s="1"/>
  <c r="B1604" i="1"/>
  <c r="C1604" i="1" s="1"/>
  <c r="B1588" i="1"/>
  <c r="C1588" i="1" s="1"/>
  <c r="B1571" i="1"/>
  <c r="C1571" i="1" s="1"/>
  <c r="B1556" i="1"/>
  <c r="C1556" i="1" s="1"/>
  <c r="B1540" i="1"/>
  <c r="C1540" i="1" s="1"/>
  <c r="B1524" i="1"/>
  <c r="C1524" i="1" s="1"/>
  <c r="B1507" i="1"/>
  <c r="C1507" i="1" s="1"/>
  <c r="B1489" i="1"/>
  <c r="C1489" i="1" s="1"/>
  <c r="B1472" i="1"/>
  <c r="C1472" i="1" s="1"/>
  <c r="B1456" i="1"/>
  <c r="C1456" i="1" s="1"/>
  <c r="B1441" i="1"/>
  <c r="C1441" i="1" s="1"/>
  <c r="B1426" i="1"/>
  <c r="C1426" i="1" s="1"/>
  <c r="B1410" i="1"/>
  <c r="C1410" i="1" s="1"/>
  <c r="B1389" i="1"/>
  <c r="C1389" i="1" s="1"/>
  <c r="B1371" i="1"/>
  <c r="C1371" i="1" s="1"/>
  <c r="B1354" i="1"/>
  <c r="C1354" i="1" s="1"/>
  <c r="B1336" i="1"/>
  <c r="C1336" i="1" s="1"/>
  <c r="B1318" i="1"/>
  <c r="C1318" i="1" s="1"/>
  <c r="B1297" i="1"/>
  <c r="C1297" i="1" s="1"/>
  <c r="B1278" i="1"/>
  <c r="C1278" i="1" s="1"/>
  <c r="B1261" i="1"/>
  <c r="C1261" i="1" s="1"/>
  <c r="B1240" i="1"/>
  <c r="C1240" i="1" s="1"/>
  <c r="B1213" i="1"/>
  <c r="C1213" i="1" s="1"/>
  <c r="B1189" i="1"/>
  <c r="C1189" i="1" s="1"/>
  <c r="B1164" i="1"/>
  <c r="C1164" i="1" s="1"/>
  <c r="B1313" i="1"/>
  <c r="C1313" i="1" s="1"/>
  <c r="B1295" i="1"/>
  <c r="C1295" i="1" s="1"/>
  <c r="B1276" i="1"/>
  <c r="C1276" i="1" s="1"/>
  <c r="B1258" i="1"/>
  <c r="C1258" i="1" s="1"/>
  <c r="B1233" i="1"/>
  <c r="C1233" i="1" s="1"/>
  <c r="B1211" i="1"/>
  <c r="C1211" i="1" s="1"/>
  <c r="B1187" i="1"/>
  <c r="C1187" i="1" s="1"/>
  <c r="B1162" i="1"/>
  <c r="C1162" i="1" s="1"/>
  <c r="B1166" i="1"/>
  <c r="C1166" i="1" s="1"/>
  <c r="B1181" i="1"/>
  <c r="C1181" i="1" s="1"/>
  <c r="B1197" i="1"/>
  <c r="C1197" i="1" s="1"/>
  <c r="B1216" i="1"/>
  <c r="C1216" i="1" s="1"/>
  <c r="B1235" i="1"/>
  <c r="C1235" i="1" s="1"/>
  <c r="B1252" i="1"/>
  <c r="C1252" i="1" s="1"/>
  <c r="B1267" i="1"/>
  <c r="C1267" i="1" s="1"/>
  <c r="B1283" i="1"/>
  <c r="C1283" i="1" s="1"/>
  <c r="B1298" i="1"/>
  <c r="C1298" i="1" s="1"/>
  <c r="B1314" i="1"/>
  <c r="C1314" i="1" s="1"/>
  <c r="B1330" i="1"/>
  <c r="C1330" i="1" s="1"/>
  <c r="B1345" i="1"/>
  <c r="C1345" i="1" s="1"/>
  <c r="B1360" i="1"/>
  <c r="C1360" i="1" s="1"/>
  <c r="B1373" i="1"/>
  <c r="C1373" i="1" s="1"/>
  <c r="B1388" i="1"/>
  <c r="C1388" i="1" s="1"/>
  <c r="B1404" i="1"/>
  <c r="C1404" i="1" s="1"/>
  <c r="B1418" i="1"/>
  <c r="C1418" i="1" s="1"/>
  <c r="B1168" i="1"/>
  <c r="C1168" i="1" s="1"/>
  <c r="B1200" i="1"/>
  <c r="C1200" i="1" s="1"/>
  <c r="B1218" i="1"/>
  <c r="C1218" i="1" s="1"/>
  <c r="B1237" i="1"/>
  <c r="C1237" i="1" s="1"/>
  <c r="B1254" i="1"/>
  <c r="C1254" i="1" s="1"/>
  <c r="B1270" i="1"/>
  <c r="C1270" i="1" s="1"/>
  <c r="B1285" i="1"/>
  <c r="C1285" i="1" s="1"/>
  <c r="B1299" i="1"/>
  <c r="C1299" i="1" s="1"/>
  <c r="B1317" i="1"/>
  <c r="C1317" i="1" s="1"/>
  <c r="B1332" i="1"/>
  <c r="C1332" i="1" s="1"/>
  <c r="B1362" i="1"/>
  <c r="C1362" i="1" s="1"/>
  <c r="B1375" i="1"/>
  <c r="C1375" i="1" s="1"/>
  <c r="B1390" i="1"/>
  <c r="C1390" i="1" s="1"/>
  <c r="B1406" i="1"/>
  <c r="C1406" i="1" s="1"/>
  <c r="B1420" i="1"/>
  <c r="C1420" i="1" s="1"/>
  <c r="B1446" i="1"/>
  <c r="C1446" i="1" s="1"/>
  <c r="B1461" i="1"/>
  <c r="C1461" i="1" s="1"/>
  <c r="B1475" i="1"/>
  <c r="C1475" i="1" s="1"/>
  <c r="B1490" i="1"/>
  <c r="C1490" i="1" s="1"/>
  <c r="B1504" i="1"/>
  <c r="C1504" i="1" s="1"/>
  <c r="B1519" i="1"/>
  <c r="C1519" i="1" s="1"/>
  <c r="B1534" i="1"/>
  <c r="C1534" i="1" s="1"/>
  <c r="B1548" i="1"/>
  <c r="C1548" i="1" s="1"/>
  <c r="B1563" i="1"/>
  <c r="C1563" i="1" s="1"/>
  <c r="B1605" i="1"/>
  <c r="C1605" i="1" s="1"/>
  <c r="B1183" i="1"/>
  <c r="C1183" i="1" s="1"/>
  <c r="B1201" i="1"/>
  <c r="C1201" i="1" s="1"/>
  <c r="B1238" i="1"/>
  <c r="C1238" i="1" s="1"/>
  <c r="B1169" i="1"/>
  <c r="C1169" i="1" s="1"/>
  <c r="B1184" i="1"/>
  <c r="C1184" i="1" s="1"/>
  <c r="B1202" i="1"/>
  <c r="C1202" i="1" s="1"/>
  <c r="B1220" i="1"/>
  <c r="C1220" i="1" s="1"/>
  <c r="B1239" i="1"/>
  <c r="C1239" i="1" s="1"/>
  <c r="B1256" i="1"/>
  <c r="C1256" i="1" s="1"/>
  <c r="B1272" i="1"/>
  <c r="C1272" i="1" s="1"/>
  <c r="B1287" i="1"/>
  <c r="C1287" i="1" s="1"/>
  <c r="B1302" i="1"/>
  <c r="C1302" i="1" s="1"/>
  <c r="B1319" i="1"/>
  <c r="C1319" i="1" s="1"/>
  <c r="B1334" i="1"/>
  <c r="C1334" i="1" s="1"/>
  <c r="B1348" i="1"/>
  <c r="C1348" i="1" s="1"/>
  <c r="B1364" i="1"/>
  <c r="C1364" i="1" s="1"/>
  <c r="B1377" i="1"/>
  <c r="C1377" i="1" s="1"/>
  <c r="B1392" i="1"/>
  <c r="C1392" i="1" s="1"/>
  <c r="B1408" i="1"/>
  <c r="C1408" i="1" s="1"/>
  <c r="B1422" i="1"/>
  <c r="C1422" i="1" s="1"/>
  <c r="B1448" i="1"/>
  <c r="C1448" i="1" s="1"/>
  <c r="B1463" i="1"/>
  <c r="C1463" i="1" s="1"/>
  <c r="B1477" i="1"/>
  <c r="C1477" i="1" s="1"/>
  <c r="B1492" i="1"/>
  <c r="C1492" i="1" s="1"/>
  <c r="B1506" i="1"/>
  <c r="C1506" i="1" s="1"/>
  <c r="B1521" i="1"/>
  <c r="C1521" i="1" s="1"/>
  <c r="B1550" i="1"/>
  <c r="C1550" i="1" s="1"/>
  <c r="B1564" i="1"/>
  <c r="C1564" i="1" s="1"/>
  <c r="B1577" i="1"/>
  <c r="C1577" i="1" s="1"/>
  <c r="B1591" i="1"/>
  <c r="C1591" i="1" s="1"/>
  <c r="B1607" i="1"/>
  <c r="C1607" i="1" s="1"/>
  <c r="B1170" i="1"/>
  <c r="C1170" i="1" s="1"/>
  <c r="B1185" i="1"/>
  <c r="C1185" i="1" s="1"/>
  <c r="B1203" i="1"/>
  <c r="C1203" i="1" s="1"/>
  <c r="B1337" i="1"/>
  <c r="C1337" i="1" s="1"/>
  <c r="B1315" i="1"/>
  <c r="C1315" i="1" s="1"/>
  <c r="B1304" i="1"/>
  <c r="C1304" i="1" s="1"/>
  <c r="B1294" i="1"/>
  <c r="C1294" i="1" s="1"/>
  <c r="B1259" i="1"/>
  <c r="C1259" i="1" s="1"/>
  <c r="B1246" i="1"/>
  <c r="C1246" i="1" s="1"/>
  <c r="B1234" i="1"/>
  <c r="C1234" i="1" s="1"/>
  <c r="B1223" i="1"/>
  <c r="C1223" i="1" s="1"/>
  <c r="B1210" i="1"/>
  <c r="C1210" i="1" s="1"/>
  <c r="B1199" i="1"/>
  <c r="C1199" i="1" s="1"/>
  <c r="B1186" i="1"/>
  <c r="C1186" i="1" s="1"/>
  <c r="B1175" i="1"/>
  <c r="C1175" i="1" s="1"/>
  <c r="B1323" i="1"/>
  <c r="C1323" i="1" s="1"/>
  <c r="B1312" i="1"/>
  <c r="C1312" i="1" s="1"/>
  <c r="B1301" i="1"/>
  <c r="C1301" i="1" s="1"/>
  <c r="B1268" i="1"/>
  <c r="C1268" i="1" s="1"/>
  <c r="B1243" i="1"/>
  <c r="C1243" i="1" s="1"/>
  <c r="B1231" i="1"/>
  <c r="C1231" i="1" s="1"/>
  <c r="B1219" i="1"/>
  <c r="C1219" i="1" s="1"/>
  <c r="B1207" i="1"/>
  <c r="C1207" i="1" s="1"/>
  <c r="B1196" i="1"/>
  <c r="C1196" i="1" s="1"/>
  <c r="B1161" i="1"/>
  <c r="C1161" i="1" s="1"/>
  <c r="B601" i="1" l="1"/>
  <c r="B600" i="1"/>
</calcChain>
</file>

<file path=xl/sharedStrings.xml><?xml version="1.0" encoding="utf-8"?>
<sst xmlns="http://schemas.openxmlformats.org/spreadsheetml/2006/main" count="1763" uniqueCount="622">
  <si>
    <t>WILAYA</t>
  </si>
  <si>
    <t>COMMUNE</t>
  </si>
  <si>
    <t>DEGREE_OF_RISK</t>
  </si>
  <si>
    <t>ACCELERATION_COEFFICIENT_A</t>
  </si>
  <si>
    <t>GAM_RETENTION_30%</t>
  </si>
  <si>
    <t>III</t>
  </si>
  <si>
    <t>IIb</t>
  </si>
  <si>
    <t>IIa</t>
  </si>
  <si>
    <t>I</t>
  </si>
  <si>
    <t>0</t>
  </si>
  <si>
    <t>MOUNT CARLO ALGORITHEM</t>
  </si>
  <si>
    <t>Maximum potential loss (PML 95%)</t>
  </si>
  <si>
    <t>DAMAGE COFF</t>
  </si>
  <si>
    <t>RETURNING AMOUNT_30%</t>
  </si>
  <si>
    <t>El Oued</t>
  </si>
  <si>
    <t>TOTAL  2023 – 2025</t>
  </si>
  <si>
    <t>DEGREE
OF RISK</t>
  </si>
  <si>
    <t>ACCEL
COEFF A</t>
  </si>
  <si>
    <t>CAPITAL ASSURÉ
(TOTAL)</t>
  </si>
  <si>
    <t>GAM RETENTION
30% (TOTAL)</t>
  </si>
  <si>
    <t>PRIME NETTE
(TOTAL)</t>
  </si>
  <si>
    <t>GAM PRIME
30% (TOTAL)</t>
  </si>
  <si>
    <t>MAX DAMAGE
(TOTAL)</t>
  </si>
  <si>
    <t>GAM MAX DAMAGE
30% (TOTAL)</t>
  </si>
  <si>
    <t>AVG RISK
RATIO</t>
  </si>
  <si>
    <t>Average loss</t>
  </si>
  <si>
    <t>Choose a commune</t>
  </si>
  <si>
    <t>Adrar</t>
  </si>
  <si>
    <t>Alger</t>
  </si>
  <si>
    <t>Alger Centre</t>
  </si>
  <si>
    <t>Bab Ezzouar</t>
  </si>
  <si>
    <t>Rouiba</t>
  </si>
  <si>
    <t>Baraki</t>
  </si>
  <si>
    <t>Cheraga</t>
  </si>
  <si>
    <t>Dar El Beida</t>
  </si>
  <si>
    <t>Kouba</t>
  </si>
  <si>
    <t>El Biar</t>
  </si>
  <si>
    <t>Baba Hassen</t>
  </si>
  <si>
    <t>Les Eucalyptus</t>
  </si>
  <si>
    <t>El Achour</t>
  </si>
  <si>
    <t>Bordj El Kiffan</t>
  </si>
  <si>
    <t>Hydra</t>
  </si>
  <si>
    <t>Ouled Fayet</t>
  </si>
  <si>
    <t>Ain Benian</t>
  </si>
  <si>
    <t>Mohammadia</t>
  </si>
  <si>
    <t>Khraissia</t>
  </si>
  <si>
    <t>El Harrach</t>
  </si>
  <si>
    <t>Oued Smar</t>
  </si>
  <si>
    <t>Zeralda</t>
  </si>
  <si>
    <t>Bir Mourad Rais</t>
  </si>
  <si>
    <t>Draria</t>
  </si>
  <si>
    <t>Reghaia</t>
  </si>
  <si>
    <t>El Mouradia</t>
  </si>
  <si>
    <t>Bouzareah</t>
  </si>
  <si>
    <t>Sidi Moussa</t>
  </si>
  <si>
    <t>Staoueli</t>
  </si>
  <si>
    <t>Ouled Chebel</t>
  </si>
  <si>
    <t>Hussein Dey</t>
  </si>
  <si>
    <t>Bordj El Bahri</t>
  </si>
  <si>
    <t>Ain Taya</t>
  </si>
  <si>
    <t>Bourouba</t>
  </si>
  <si>
    <t>Souidania</t>
  </si>
  <si>
    <t>Beni Messous</t>
  </si>
  <si>
    <t>Bab El Oued</t>
  </si>
  <si>
    <t>Ben Aknoun</t>
  </si>
  <si>
    <t>Rahmania</t>
  </si>
  <si>
    <t>El Madania</t>
  </si>
  <si>
    <t>El Magharia</t>
  </si>
  <si>
    <t>Rais Hamidou</t>
  </si>
  <si>
    <t>Casbah</t>
  </si>
  <si>
    <t>El Marsa</t>
  </si>
  <si>
    <t>Oued Koriche</t>
  </si>
  <si>
    <t>Hammamet</t>
  </si>
  <si>
    <t>Annaba</t>
  </si>
  <si>
    <t>El Bouni</t>
  </si>
  <si>
    <t>El Hadjar</t>
  </si>
  <si>
    <t>Seraidi</t>
  </si>
  <si>
    <t>Oued El Aneb</t>
  </si>
  <si>
    <t>El Eulma</t>
  </si>
  <si>
    <t>Aïn Defla</t>
  </si>
  <si>
    <t>Ain-Defla</t>
  </si>
  <si>
    <t>El-Attaf</t>
  </si>
  <si>
    <t>Tiberkanine</t>
  </si>
  <si>
    <t>Ain-Benian</t>
  </si>
  <si>
    <t>Khemis-Miliana</t>
  </si>
  <si>
    <t>Rouina</t>
  </si>
  <si>
    <t>Ain-Soltane</t>
  </si>
  <si>
    <t>Djelida</t>
  </si>
  <si>
    <t>El-Amra</t>
  </si>
  <si>
    <t>Miliana</t>
  </si>
  <si>
    <t>Bourached</t>
  </si>
  <si>
    <t>Bordj-Emir-Khaled</t>
  </si>
  <si>
    <t>Zeddine</t>
  </si>
  <si>
    <t>Arib</t>
  </si>
  <si>
    <t>Mekhatria</t>
  </si>
  <si>
    <t>Ain-Bouyahia</t>
  </si>
  <si>
    <t>Djendel</t>
  </si>
  <si>
    <t>Ain-Torki</t>
  </si>
  <si>
    <t>Boumedfaa</t>
  </si>
  <si>
    <t>Hammam-Righa</t>
  </si>
  <si>
    <t>Djemaa Ouled Cheikh</t>
  </si>
  <si>
    <t>Batna</t>
  </si>
  <si>
    <t>Arris</t>
  </si>
  <si>
    <t>Ain Touta</t>
  </si>
  <si>
    <t>Barika</t>
  </si>
  <si>
    <t>Ichemoul</t>
  </si>
  <si>
    <t>Bouzina</t>
  </si>
  <si>
    <t>Oued Taga</t>
  </si>
  <si>
    <t>Fesdis</t>
  </si>
  <si>
    <t>Menaa</t>
  </si>
  <si>
    <t>Tazoult</t>
  </si>
  <si>
    <t>Oued Chaaba</t>
  </si>
  <si>
    <t>Chir</t>
  </si>
  <si>
    <t>Tigharghar</t>
  </si>
  <si>
    <t>Foum Toub</t>
  </si>
  <si>
    <t>Ghassira</t>
  </si>
  <si>
    <t>Seriana</t>
  </si>
  <si>
    <t>Ain Yagout</t>
  </si>
  <si>
    <t>El Madher</t>
  </si>
  <si>
    <t>Merouana</t>
  </si>
  <si>
    <t>Tighanimine</t>
  </si>
  <si>
    <t>Djezzar</t>
  </si>
  <si>
    <t>Ouled Fadel</t>
  </si>
  <si>
    <t>Kimmel</t>
  </si>
  <si>
    <t>Ain Djasser</t>
  </si>
  <si>
    <t>Chemora</t>
  </si>
  <si>
    <t>Djerma</t>
  </si>
  <si>
    <t>Biskra</t>
  </si>
  <si>
    <t>Tolga</t>
  </si>
  <si>
    <t>M'chouneche</t>
  </si>
  <si>
    <t>Zeribet El Oued</t>
  </si>
  <si>
    <t>Blida</t>
  </si>
  <si>
    <t>Mouzaia</t>
  </si>
  <si>
    <t>Ouled Yaich</t>
  </si>
  <si>
    <t>Boufarik</t>
  </si>
  <si>
    <t>Soumaa</t>
  </si>
  <si>
    <t>Guerrouaou</t>
  </si>
  <si>
    <t>Bouinan</t>
  </si>
  <si>
    <t>Beni-Tamou</t>
  </si>
  <si>
    <t>Beni Mered</t>
  </si>
  <si>
    <t>Chebli</t>
  </si>
  <si>
    <t>Larbaa</t>
  </si>
  <si>
    <t>Bougara</t>
  </si>
  <si>
    <t>Ouled Slama</t>
  </si>
  <si>
    <t>Bouarfa</t>
  </si>
  <si>
    <t>Meftah</t>
  </si>
  <si>
    <t>Chiffa</t>
  </si>
  <si>
    <t>Oued El Alleug</t>
  </si>
  <si>
    <t>Chrea</t>
  </si>
  <si>
    <t>Bordj Bou Arreridj</t>
  </si>
  <si>
    <t>Mansoura</t>
  </si>
  <si>
    <t>Sidi-Embarek</t>
  </si>
  <si>
    <t>El Achir</t>
  </si>
  <si>
    <t>Medjana</t>
  </si>
  <si>
    <t>Hasnaoua</t>
  </si>
  <si>
    <t>Belimour</t>
  </si>
  <si>
    <t>Ain Taghrout</t>
  </si>
  <si>
    <t>Khelil</t>
  </si>
  <si>
    <t>Bir Kasdali</t>
  </si>
  <si>
    <t>Rabta</t>
  </si>
  <si>
    <t>Ras El Oued</t>
  </si>
  <si>
    <t>Ben Daoud</t>
  </si>
  <si>
    <t>Ouled Sidi-Brahim</t>
  </si>
  <si>
    <t>El Euch</t>
  </si>
  <si>
    <t>Taglait</t>
  </si>
  <si>
    <t>Ksour</t>
  </si>
  <si>
    <t>Djaafra</t>
  </si>
  <si>
    <t>El Main</t>
  </si>
  <si>
    <t>Bouira</t>
  </si>
  <si>
    <t>Aghbalou</t>
  </si>
  <si>
    <t>Chorfa</t>
  </si>
  <si>
    <t>Dirah</t>
  </si>
  <si>
    <t>Taghzout</t>
  </si>
  <si>
    <t>Sour El Ghozlane</t>
  </si>
  <si>
    <t>Haizer</t>
  </si>
  <si>
    <t>Ahl El Ksar</t>
  </si>
  <si>
    <t>Lakhdaria</t>
  </si>
  <si>
    <t>Ain El Hadjar</t>
  </si>
  <si>
    <t>Ait Laaziz</t>
  </si>
  <si>
    <t>Ouled Rached</t>
  </si>
  <si>
    <t>El Hachimia</t>
  </si>
  <si>
    <t>El Asnam</t>
  </si>
  <si>
    <t>El Adjiba</t>
  </si>
  <si>
    <t>Bir Ghbalou</t>
  </si>
  <si>
    <t>Ain Turk</t>
  </si>
  <si>
    <t>Bechloul</t>
  </si>
  <si>
    <t>Souk El Khemis</t>
  </si>
  <si>
    <t>Oued El Berdi</t>
  </si>
  <si>
    <t>Hanif</t>
  </si>
  <si>
    <t>Aomar</t>
  </si>
  <si>
    <t>Hadjera Zerga</t>
  </si>
  <si>
    <t>Dechmia</t>
  </si>
  <si>
    <t>Kadiria</t>
  </si>
  <si>
    <t>Saharidj</t>
  </si>
  <si>
    <t>Boukram</t>
  </si>
  <si>
    <t>Boumerdès</t>
  </si>
  <si>
    <t>Tidjelabine</t>
  </si>
  <si>
    <t>Larbatache</t>
  </si>
  <si>
    <t>Boumerdes</t>
  </si>
  <si>
    <t>Ouled Moussa</t>
  </si>
  <si>
    <t>Khemis El Khechna</t>
  </si>
  <si>
    <t>El Kharrouba</t>
  </si>
  <si>
    <t>Dellys</t>
  </si>
  <si>
    <t>Boudouaou</t>
  </si>
  <si>
    <t>Isser</t>
  </si>
  <si>
    <t>Baghlia</t>
  </si>
  <si>
    <t>Hammedi</t>
  </si>
  <si>
    <t>Corso</t>
  </si>
  <si>
    <t>Boudouaou El Bahri</t>
  </si>
  <si>
    <t>Zemmouri</t>
  </si>
  <si>
    <t>Thenia</t>
  </si>
  <si>
    <t>Naciria</t>
  </si>
  <si>
    <t>Bordj Menaiel</t>
  </si>
  <si>
    <t>Sidi Daoud</t>
  </si>
  <si>
    <t>Timezrit</t>
  </si>
  <si>
    <t>Taourga</t>
  </si>
  <si>
    <t>Chabet El Ameur</t>
  </si>
  <si>
    <t>Ben Choud</t>
  </si>
  <si>
    <t>Afir</t>
  </si>
  <si>
    <t>Djinet</t>
  </si>
  <si>
    <t>Si Mustapha</t>
  </si>
  <si>
    <t>Souk El Had</t>
  </si>
  <si>
    <t>Ouled Aissa</t>
  </si>
  <si>
    <t>Bouzegza Keddara</t>
  </si>
  <si>
    <t>Beni Amrane</t>
  </si>
  <si>
    <t>Béchar</t>
  </si>
  <si>
    <t>Bechar</t>
  </si>
  <si>
    <t>Béjaïa</t>
  </si>
  <si>
    <t>Bejaia</t>
  </si>
  <si>
    <t>Akbou</t>
  </si>
  <si>
    <t>El Kseur</t>
  </si>
  <si>
    <t>Tazmalt</t>
  </si>
  <si>
    <t>Amizour</t>
  </si>
  <si>
    <t>Oued Ghir</t>
  </si>
  <si>
    <t>Barbacha</t>
  </si>
  <si>
    <t>Tala Hamza</t>
  </si>
  <si>
    <t>Ouzellaguen</t>
  </si>
  <si>
    <t>Melbou</t>
  </si>
  <si>
    <t>Tifra</t>
  </si>
  <si>
    <t>Adekar</t>
  </si>
  <si>
    <t>Darguina</t>
  </si>
  <si>
    <t>Sidi-Aich</t>
  </si>
  <si>
    <t>Boukhelifa</t>
  </si>
  <si>
    <t>Taskriout</t>
  </si>
  <si>
    <t>Souk El Tenine</t>
  </si>
  <si>
    <t>Aokas</t>
  </si>
  <si>
    <t>Amalou</t>
  </si>
  <si>
    <t>Kherrata</t>
  </si>
  <si>
    <t>Ait-Smail</t>
  </si>
  <si>
    <t>Toudja</t>
  </si>
  <si>
    <t>Boudjellil</t>
  </si>
  <si>
    <t>Ighram</t>
  </si>
  <si>
    <t>Chemini</t>
  </si>
  <si>
    <t>Kendira</t>
  </si>
  <si>
    <t>Seddouk</t>
  </si>
  <si>
    <t>Beni Djellil</t>
  </si>
  <si>
    <t>Tibane</t>
  </si>
  <si>
    <t>Souk Oufella</t>
  </si>
  <si>
    <t>Tamridjet</t>
  </si>
  <si>
    <t>Sidi Ayad</t>
  </si>
  <si>
    <t>Ait R'zine</t>
  </si>
  <si>
    <t>Bouhamza</t>
  </si>
  <si>
    <t>Chlef</t>
  </si>
  <si>
    <t>Boukadir</t>
  </si>
  <si>
    <t>Oued Sly</t>
  </si>
  <si>
    <t>Ain Merane</t>
  </si>
  <si>
    <t>El Karimia</t>
  </si>
  <si>
    <t>Sobha</t>
  </si>
  <si>
    <t>Ouled Fares</t>
  </si>
  <si>
    <t>Ouled Ben Abdelkader</t>
  </si>
  <si>
    <t>Oued Fodda</t>
  </si>
  <si>
    <t>Tenes</t>
  </si>
  <si>
    <t>Ouled Abbes</t>
  </si>
  <si>
    <t>Zeboudja</t>
  </si>
  <si>
    <t>Dahra</t>
  </si>
  <si>
    <t>Beni Rached</t>
  </si>
  <si>
    <t>Chettia</t>
  </si>
  <si>
    <t>Sendjas</t>
  </si>
  <si>
    <t>Constantine</t>
  </si>
  <si>
    <t>El Khroub</t>
  </si>
  <si>
    <t>Hamma Bouziane</t>
  </si>
  <si>
    <t>Didouche Mourad</t>
  </si>
  <si>
    <t>Ain Abid</t>
  </si>
  <si>
    <t>Ain Smara</t>
  </si>
  <si>
    <t>Zighoud Youcef</t>
  </si>
  <si>
    <t>Ibn Ziad</t>
  </si>
  <si>
    <t>Ben Badis</t>
  </si>
  <si>
    <t>Ouled Rahmoun</t>
  </si>
  <si>
    <t>Djelfa</t>
  </si>
  <si>
    <t>Benhar</t>
  </si>
  <si>
    <t>El Bayadh</t>
  </si>
  <si>
    <t>El-Oued</t>
  </si>
  <si>
    <t>Nakhla</t>
  </si>
  <si>
    <t>Reguiba</t>
  </si>
  <si>
    <t>Bayadha</t>
  </si>
  <si>
    <t>Kouinine</t>
  </si>
  <si>
    <t>Hassani Abdelkrim</t>
  </si>
  <si>
    <t>Hamraia</t>
  </si>
  <si>
    <t>Robbah</t>
  </si>
  <si>
    <t>Ghardaïa</t>
  </si>
  <si>
    <t>Ghardaia</t>
  </si>
  <si>
    <t>El Atteuf</t>
  </si>
  <si>
    <t>Berriane</t>
  </si>
  <si>
    <t>Guelma</t>
  </si>
  <si>
    <t>Oued Zenati</t>
  </si>
  <si>
    <t>Nechmaya</t>
  </si>
  <si>
    <t>Jijel</t>
  </si>
  <si>
    <t>Taher</t>
  </si>
  <si>
    <t>Emir Abdelkader</t>
  </si>
  <si>
    <t>Chekfa</t>
  </si>
  <si>
    <t>El Kennar Nouchfi</t>
  </si>
  <si>
    <t>Oudjana</t>
  </si>
  <si>
    <t>Sidi Abdelaziz</t>
  </si>
  <si>
    <t>Kaous</t>
  </si>
  <si>
    <t>Chahna</t>
  </si>
  <si>
    <t>El Aouana</t>
  </si>
  <si>
    <t>Bouraoui Belhadef</t>
  </si>
  <si>
    <t>Djemaa Beni Habibi</t>
  </si>
  <si>
    <t>El Ancer</t>
  </si>
  <si>
    <t>El Milia</t>
  </si>
  <si>
    <t>Texenna</t>
  </si>
  <si>
    <t>Khenchela</t>
  </si>
  <si>
    <t>Baghai</t>
  </si>
  <si>
    <t>El Hamma</t>
  </si>
  <si>
    <t>Tamza</t>
  </si>
  <si>
    <t>El Mahmal</t>
  </si>
  <si>
    <t>Ensigha</t>
  </si>
  <si>
    <t>Bouhmama</t>
  </si>
  <si>
    <t>Yabous</t>
  </si>
  <si>
    <t>Ain Touila</t>
  </si>
  <si>
    <t>Chelia</t>
  </si>
  <si>
    <t>Laghouat</t>
  </si>
  <si>
    <t>Ksar El Hirane</t>
  </si>
  <si>
    <t>Sidi Makhlouf</t>
  </si>
  <si>
    <t>Kheneg</t>
  </si>
  <si>
    <t>Tadjemout</t>
  </si>
  <si>
    <t>Aflou</t>
  </si>
  <si>
    <t>Ain Madhi</t>
  </si>
  <si>
    <t>El Assafia</t>
  </si>
  <si>
    <t>M'Sila</t>
  </si>
  <si>
    <t>Sidi Aissa</t>
  </si>
  <si>
    <t>M'sila</t>
  </si>
  <si>
    <t>Ain El Hadjel</t>
  </si>
  <si>
    <t>Sidi Hadjeres</t>
  </si>
  <si>
    <t>Berhoum</t>
  </si>
  <si>
    <t>Ain Khadra</t>
  </si>
  <si>
    <t>Magra</t>
  </si>
  <si>
    <t>Ouled Sidi Brahim</t>
  </si>
  <si>
    <t>Ouled Derradj</t>
  </si>
  <si>
    <t>Bouti Sayeh</t>
  </si>
  <si>
    <t>Ouled Addi Guebala</t>
  </si>
  <si>
    <t>Belaiba</t>
  </si>
  <si>
    <t>Ouled Madhi</t>
  </si>
  <si>
    <t>Dehahna</t>
  </si>
  <si>
    <t>Ben Srour</t>
  </si>
  <si>
    <t>Maadid</t>
  </si>
  <si>
    <t>Mascara</t>
  </si>
  <si>
    <t>Tighennif</t>
  </si>
  <si>
    <t>Ghriss</t>
  </si>
  <si>
    <t>Tizi</t>
  </si>
  <si>
    <t>Sig</t>
  </si>
  <si>
    <t>Ain Fares</t>
  </si>
  <si>
    <t>El Hachem</t>
  </si>
  <si>
    <t>Bouhanifia</t>
  </si>
  <si>
    <t>Maoussa</t>
  </si>
  <si>
    <t>Froha</t>
  </si>
  <si>
    <t>Sidi Kada</t>
  </si>
  <si>
    <t>Ain Fekan</t>
  </si>
  <si>
    <t>Hacine</t>
  </si>
  <si>
    <t>Zahana</t>
  </si>
  <si>
    <t>El Mamounia</t>
  </si>
  <si>
    <t>El Keurt</t>
  </si>
  <si>
    <t>Alaimia</t>
  </si>
  <si>
    <t>Oued El Abtal</t>
  </si>
  <si>
    <t>Mila</t>
  </si>
  <si>
    <t>Hamala</t>
  </si>
  <si>
    <t>Chelghoum Laid</t>
  </si>
  <si>
    <t>Rouached</t>
  </si>
  <si>
    <t>Tadjenanet</t>
  </si>
  <si>
    <t>Oued Seguen</t>
  </si>
  <si>
    <t>Zeghaia</t>
  </si>
  <si>
    <t>Grarem Gouga</t>
  </si>
  <si>
    <t>Oued Endja</t>
  </si>
  <si>
    <t>Amira Arres</t>
  </si>
  <si>
    <t>Sidi Merouane</t>
  </si>
  <si>
    <t>Ferdjioua</t>
  </si>
  <si>
    <t>Bouhatem</t>
  </si>
  <si>
    <t>Benyahia Abderrahmane</t>
  </si>
  <si>
    <t>Tiberguent</t>
  </si>
  <si>
    <t>Minar Zarza</t>
  </si>
  <si>
    <t>Mostaganem</t>
  </si>
  <si>
    <t>Sirat</t>
  </si>
  <si>
    <t>Kheir-Eddine</t>
  </si>
  <si>
    <t>Sayada</t>
  </si>
  <si>
    <t>Mesra</t>
  </si>
  <si>
    <t>Sidi Ali</t>
  </si>
  <si>
    <t>Stidia</t>
  </si>
  <si>
    <t>Fornaka</t>
  </si>
  <si>
    <t>Ain-Sidi Cherif</t>
  </si>
  <si>
    <t>Bouguirat</t>
  </si>
  <si>
    <t>Ouled-Maalah</t>
  </si>
  <si>
    <t>Ouled Boughalem</t>
  </si>
  <si>
    <t>Sidi-Lakhdar</t>
  </si>
  <si>
    <t>Ain-Tedles</t>
  </si>
  <si>
    <t>Ain-Boudinar</t>
  </si>
  <si>
    <t>Achaacha</t>
  </si>
  <si>
    <t>Touahria</t>
  </si>
  <si>
    <t>Médéa</t>
  </si>
  <si>
    <t>Medea</t>
  </si>
  <si>
    <t>Berrouaghia</t>
  </si>
  <si>
    <t>Ouzera</t>
  </si>
  <si>
    <t>Sidi Naamane</t>
  </si>
  <si>
    <t>Ouamri</t>
  </si>
  <si>
    <t>El Omaria</t>
  </si>
  <si>
    <t>Zoubiria</t>
  </si>
  <si>
    <t>Rebaia</t>
  </si>
  <si>
    <t>Ksar El Boukhari</t>
  </si>
  <si>
    <t>Seghouane</t>
  </si>
  <si>
    <t>Tablat</t>
  </si>
  <si>
    <t>Bouchrahil</t>
  </si>
  <si>
    <t>Cheniguel</t>
  </si>
  <si>
    <t>Ouled Brahim</t>
  </si>
  <si>
    <t>El Guelbelkebir</t>
  </si>
  <si>
    <t>Khams Djouamaa</t>
  </si>
  <si>
    <t>Souagui</t>
  </si>
  <si>
    <t>Beni Slimane</t>
  </si>
  <si>
    <t>Ain Boucif</t>
  </si>
  <si>
    <t>Boughzoul</t>
  </si>
  <si>
    <t>Sidi Zahar</t>
  </si>
  <si>
    <t>Si Mahdjoub</t>
  </si>
  <si>
    <t>Oran</t>
  </si>
  <si>
    <t>Bir El Djir</t>
  </si>
  <si>
    <t>Es Senia</t>
  </si>
  <si>
    <t>Sidi Chami</t>
  </si>
  <si>
    <t>Arzew</t>
  </si>
  <si>
    <t>Hassi Bounif</t>
  </si>
  <si>
    <t>Gdyel</t>
  </si>
  <si>
    <t>Boutlelis</t>
  </si>
  <si>
    <t>Bethioua</t>
  </si>
  <si>
    <t>Bousfer</t>
  </si>
  <si>
    <t>El Ancor</t>
  </si>
  <si>
    <t>Oued Tlelat</t>
  </si>
  <si>
    <t>Ben Freha</t>
  </si>
  <si>
    <t>Hassi Ben Okba</t>
  </si>
  <si>
    <t>Ain Kerma</t>
  </si>
  <si>
    <t>Marsat El Hadjadj</t>
  </si>
  <si>
    <t>Boufatis</t>
  </si>
  <si>
    <t>El Braya</t>
  </si>
  <si>
    <t>Ouled Djellal</t>
  </si>
  <si>
    <t>Oum El Bouaghi</t>
  </si>
  <si>
    <t>Ouled Hamla</t>
  </si>
  <si>
    <t>Sigus</t>
  </si>
  <si>
    <t>Souk Naamane</t>
  </si>
  <si>
    <t>Dhalaa</t>
  </si>
  <si>
    <t>Ain Kercha</t>
  </si>
  <si>
    <t>Bir Chouhada</t>
  </si>
  <si>
    <t>Ouled Gacem</t>
  </si>
  <si>
    <t>Hanchir Toumghani</t>
  </si>
  <si>
    <t>Relizane</t>
  </si>
  <si>
    <t>Sidi Khettab</t>
  </si>
  <si>
    <t>Oued-Rhiou</t>
  </si>
  <si>
    <t>Saïda</t>
  </si>
  <si>
    <t>Saida</t>
  </si>
  <si>
    <t>Sidi Bel Abbès</t>
  </si>
  <si>
    <t>Sidi Bel-Abbes</t>
  </si>
  <si>
    <t>Lamtar</t>
  </si>
  <si>
    <t>Telagh</t>
  </si>
  <si>
    <t>Sidi Lahcene</t>
  </si>
  <si>
    <t>Sidi Brahim</t>
  </si>
  <si>
    <t>Skikda</t>
  </si>
  <si>
    <t>Azzaba</t>
  </si>
  <si>
    <t>Oum Toub</t>
  </si>
  <si>
    <t>Sidi Mezghiche</t>
  </si>
  <si>
    <t>Salah Bouchaour</t>
  </si>
  <si>
    <t>El Hadaiek</t>
  </si>
  <si>
    <t>Ain Bouziane</t>
  </si>
  <si>
    <t>Ben Azzouz</t>
  </si>
  <si>
    <t>Beni Oulbane</t>
  </si>
  <si>
    <t>Ramdane Djamel</t>
  </si>
  <si>
    <t>Zerdezas</t>
  </si>
  <si>
    <t>Collo</t>
  </si>
  <si>
    <t>Tamalous</t>
  </si>
  <si>
    <t>El Ghedir</t>
  </si>
  <si>
    <t>Souk Ahras</t>
  </si>
  <si>
    <t>Taoura</t>
  </si>
  <si>
    <t>Merahna</t>
  </si>
  <si>
    <t>Sedrata</t>
  </si>
  <si>
    <t>Sétif</t>
  </si>
  <si>
    <t>Setif</t>
  </si>
  <si>
    <t>Bazer-Sakra</t>
  </si>
  <si>
    <t>Bir-El-Arch</t>
  </si>
  <si>
    <t>Beni-Aziz</t>
  </si>
  <si>
    <t>Guidjel</t>
  </si>
  <si>
    <t>Djemila</t>
  </si>
  <si>
    <t>Taya</t>
  </si>
  <si>
    <t>Ain El Kebira</t>
  </si>
  <si>
    <t>Beni Fouda</t>
  </si>
  <si>
    <t>Bellaa</t>
  </si>
  <si>
    <t>Ouled Sabor</t>
  </si>
  <si>
    <t>Ain Abessa</t>
  </si>
  <si>
    <t>Maaouia</t>
  </si>
  <si>
    <t>Tachouda</t>
  </si>
  <si>
    <t>Mezloug</t>
  </si>
  <si>
    <t>Tella</t>
  </si>
  <si>
    <t>Ain Lahdjar</t>
  </si>
  <si>
    <t>Ain Arnat</t>
  </si>
  <si>
    <t>Ain-Sebt</t>
  </si>
  <si>
    <t>Babor</t>
  </si>
  <si>
    <t>Beni-Mouhli</t>
  </si>
  <si>
    <t>Beidha Bordj</t>
  </si>
  <si>
    <t>Beni Chebana</t>
  </si>
  <si>
    <t>Ain-Roua</t>
  </si>
  <si>
    <t>Dehamcha</t>
  </si>
  <si>
    <t>El Ouricia</t>
  </si>
  <si>
    <t>Bouandas</t>
  </si>
  <si>
    <t>Amoucha</t>
  </si>
  <si>
    <t>Guellal</t>
  </si>
  <si>
    <t>Bousselam</t>
  </si>
  <si>
    <t>Draa-Kebila</t>
  </si>
  <si>
    <t>Bougaa</t>
  </si>
  <si>
    <t>Tamanrasset</t>
  </si>
  <si>
    <t>Tiaret</t>
  </si>
  <si>
    <t>Mellakou</t>
  </si>
  <si>
    <t>Dahmouni</t>
  </si>
  <si>
    <t>Rahouia</t>
  </si>
  <si>
    <t>Oued Lilli</t>
  </si>
  <si>
    <t>Frenda</t>
  </si>
  <si>
    <t>Sougueur</t>
  </si>
  <si>
    <t>Ain Bouchekif</t>
  </si>
  <si>
    <t>Sebaine</t>
  </si>
  <si>
    <t>Meghila</t>
  </si>
  <si>
    <t>Hamadia</t>
  </si>
  <si>
    <t>Tipaza</t>
  </si>
  <si>
    <t>Hadjout</t>
  </si>
  <si>
    <t>Bou Ismail</t>
  </si>
  <si>
    <t>Bourkika</t>
  </si>
  <si>
    <t>Douaouda</t>
  </si>
  <si>
    <t>Kolea</t>
  </si>
  <si>
    <t>Ahmer El Ain</t>
  </si>
  <si>
    <t>Gouraya</t>
  </si>
  <si>
    <t>Fouka</t>
  </si>
  <si>
    <t>Damous</t>
  </si>
  <si>
    <t>Sidi Rached</t>
  </si>
  <si>
    <t>Nador</t>
  </si>
  <si>
    <t>Larhat</t>
  </si>
  <si>
    <t>Ain Tagourait</t>
  </si>
  <si>
    <t>Menaceur</t>
  </si>
  <si>
    <t>Sidi Ghiles</t>
  </si>
  <si>
    <t>Chaiba</t>
  </si>
  <si>
    <t>Khemisti</t>
  </si>
  <si>
    <t>Sidi-Amar</t>
  </si>
  <si>
    <t>Messelmoun</t>
  </si>
  <si>
    <t>Tissemsilt</t>
  </si>
  <si>
    <t>Layoune</t>
  </si>
  <si>
    <t>Lardjem</t>
  </si>
  <si>
    <t>Tizi Ouzou</t>
  </si>
  <si>
    <t>Tizi-Ouzou</t>
  </si>
  <si>
    <t>Tizi-Rached</t>
  </si>
  <si>
    <t>Tigzirt</t>
  </si>
  <si>
    <t>Boghni</t>
  </si>
  <si>
    <t>Azazga</t>
  </si>
  <si>
    <t>Freha</t>
  </si>
  <si>
    <t>Draa-Ben-Khedda</t>
  </si>
  <si>
    <t>Iflissen</t>
  </si>
  <si>
    <t>Ait-Aissa-Mimoun</t>
  </si>
  <si>
    <t>Ouaguenoun</t>
  </si>
  <si>
    <t>Azeffoun</t>
  </si>
  <si>
    <t>Makouda</t>
  </si>
  <si>
    <t>Tadmait</t>
  </si>
  <si>
    <t>Boudjima</t>
  </si>
  <si>
    <t>Timizart</t>
  </si>
  <si>
    <t>Ain-Zaouia</t>
  </si>
  <si>
    <t>Bounouh</t>
  </si>
  <si>
    <t>Assi-Youcef</t>
  </si>
  <si>
    <t>Beni-Douala</t>
  </si>
  <si>
    <t>Mizrana</t>
  </si>
  <si>
    <t>Irdjen</t>
  </si>
  <si>
    <t>Mekla</t>
  </si>
  <si>
    <t>Ifigha</t>
  </si>
  <si>
    <t>Beni Zmenzer</t>
  </si>
  <si>
    <t>Souk-El-Tenine</t>
  </si>
  <si>
    <t>Draa-El-Mizan</t>
  </si>
  <si>
    <t>Frikat</t>
  </si>
  <si>
    <t>Ait Yahia Moussa</t>
  </si>
  <si>
    <t>Idjeur</t>
  </si>
  <si>
    <t>Tirmitine</t>
  </si>
  <si>
    <t>Ain-El-Hammam</t>
  </si>
  <si>
    <t>Ouacif</t>
  </si>
  <si>
    <t>Illilten</t>
  </si>
  <si>
    <t>Ait-Yahia</t>
  </si>
  <si>
    <t>Beni-Aissi</t>
  </si>
  <si>
    <t>Beni-Yenni</t>
  </si>
  <si>
    <t>Ait-Toudert</t>
  </si>
  <si>
    <t>Ait Aggouacha</t>
  </si>
  <si>
    <t>Ait-Mahmoud</t>
  </si>
  <si>
    <t>Imsouhal</t>
  </si>
  <si>
    <t>Akerrou</t>
  </si>
  <si>
    <t>Iferhounene</t>
  </si>
  <si>
    <t>Tlemcen</t>
  </si>
  <si>
    <t>Mansourah</t>
  </si>
  <si>
    <t>Maghnia</t>
  </si>
  <si>
    <t>Chetouane</t>
  </si>
  <si>
    <t>Ain Youcef</t>
  </si>
  <si>
    <t>Ouled Mimoun</t>
  </si>
  <si>
    <t>Remchi</t>
  </si>
  <si>
    <t>Beni Mester</t>
  </si>
  <si>
    <t>Touggourt</t>
  </si>
  <si>
    <t>Tébessa</t>
  </si>
  <si>
    <t>Tebessa</t>
  </si>
  <si>
    <t>Bir-El-Ater</t>
  </si>
  <si>
    <t>Ain Zerga</t>
  </si>
  <si>
    <t>El-Aouinet</t>
  </si>
  <si>
    <t>Negrine</t>
  </si>
  <si>
    <t>El Ogla</t>
  </si>
  <si>
    <t>Bekkaria</t>
  </si>
  <si>
    <t>El Meridj</t>
  </si>
  <si>
    <t>Ferkane</t>
  </si>
  <si>
    <t>Boulhaf Dyr</t>
  </si>
  <si>
    <t>El Kouif</t>
  </si>
  <si>
    <t>El-Houidjbet</t>
  </si>
  <si>
    <t>Boukhadra</t>
  </si>
  <si>
    <t>TOTAL NET PRIME 30%: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</si>
</sst>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DZD&quot;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3864"/>
      </patternFill>
    </fill>
    <fill>
      <patternFill patternType="solid">
        <fgColor rgb="FFFF4444"/>
      </patternFill>
    </fill>
    <fill>
      <patternFill patternType="solid">
        <fgColor rgb="FFFF8C00"/>
      </patternFill>
    </fill>
    <fill>
      <patternFill patternType="solid">
        <fgColor rgb="FFFFC000"/>
      </patternFill>
    </fill>
    <fill>
      <patternFill patternType="solid">
        <fgColor rgb="FF2E4057"/>
      </patternFill>
    </fill>
    <fill>
      <patternFill patternType="solid">
        <fgColor rgb="FFE2EFDA"/>
      </patternFill>
    </fill>
    <fill>
      <patternFill patternType="solid">
        <fgColor rgb="FFF2F9EE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3" borderId="2" xfId="0" applyFill="1" applyBorder="1"/>
    <xf numFmtId="0" fontId="5" fillId="3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" fontId="2" fillId="9" borderId="2" xfId="0" applyNumberFormat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Probabilistic Distribution of Seismic Losses: 1,000 Monte Carlo Scenarios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63CC4C54-4938-4EEA-82A9-A156D5ED500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1463040</xdr:colOff>
      <xdr:row>614</xdr:row>
      <xdr:rowOff>60960</xdr:rowOff>
    </xdr:from>
    <xdr:to>
      <xdr:col>6</xdr:col>
      <xdr:colOff>1072143</xdr:colOff>
      <xdr:row>629</xdr:row>
      <xdr:rowOff>25531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2A257A7-D6EB-492E-89A2-C38C4ED8F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1940" y="112501680"/>
              <a:ext cx="6017523" cy="27077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7"/>
  <sheetViews>
    <sheetView tabSelected="1" topLeftCell="D1" zoomScale="70" zoomScaleNormal="70" workbookViewId="0">
      <selection activeCell="G588" sqref="G588"/>
    </sheetView>
  </sheetViews>
  <sheetFormatPr defaultRowHeight="14.4" x14ac:dyDescent="0.3"/>
  <cols>
    <col min="1" max="1" width="34.21875" customWidth="1"/>
    <col min="2" max="2" width="23" customWidth="1"/>
    <col min="3" max="3" width="36.6640625" customWidth="1"/>
    <col min="4" max="4" width="41.88671875" customWidth="1"/>
    <col min="5" max="5" width="29.5546875" customWidth="1"/>
    <col min="6" max="7" width="22" customWidth="1"/>
    <col min="8" max="8" width="41" customWidth="1"/>
    <col min="9" max="9" width="27.21875" customWidth="1"/>
    <col min="10" max="10" width="27.33203125" customWidth="1"/>
    <col min="11" max="11" width="43.33203125" customWidth="1"/>
    <col min="12" max="12" width="3.6640625" customWidth="1"/>
    <col min="13" max="13" width="9" customWidth="1"/>
    <col min="14" max="14" width="15.5546875" customWidth="1"/>
    <col min="15" max="15" width="39" customWidth="1"/>
  </cols>
  <sheetData>
    <row r="1" spans="1:14" ht="15.6" x14ac:dyDescent="0.3">
      <c r="A1" s="5"/>
      <c r="B1" s="5"/>
      <c r="C1" s="5"/>
      <c r="D1" s="5"/>
      <c r="E1" s="17" t="s">
        <v>15</v>
      </c>
      <c r="F1" s="18"/>
      <c r="G1" s="18"/>
      <c r="H1" s="18"/>
      <c r="I1" s="18"/>
      <c r="J1" s="18"/>
      <c r="K1" s="18"/>
      <c r="L1" s="19"/>
    </row>
    <row r="2" spans="1:14" ht="24" x14ac:dyDescent="0.3">
      <c r="A2" s="6" t="s">
        <v>0</v>
      </c>
      <c r="B2" s="6" t="s">
        <v>1</v>
      </c>
      <c r="C2" s="6" t="s">
        <v>16</v>
      </c>
      <c r="D2" s="6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</row>
    <row r="3" spans="1:14" x14ac:dyDescent="0.3">
      <c r="A3" s="8" t="s">
        <v>28</v>
      </c>
      <c r="B3" s="8" t="s">
        <v>29</v>
      </c>
      <c r="C3" s="9" t="s">
        <v>5</v>
      </c>
      <c r="D3" s="10">
        <v>0.4</v>
      </c>
      <c r="E3" s="14">
        <v>40853567125.220001</v>
      </c>
      <c r="F3" s="14">
        <f>E3*0.3</f>
        <v>12256070137.566</v>
      </c>
      <c r="G3" s="14">
        <v>19828019.27</v>
      </c>
      <c r="H3" s="14">
        <f>G3*0.3</f>
        <v>5948405.7809999995</v>
      </c>
      <c r="I3" s="14">
        <f>E3*D3</f>
        <v>16341426850.088001</v>
      </c>
      <c r="J3" s="14">
        <f>I3*0.3</f>
        <v>4902428055.0264006</v>
      </c>
      <c r="K3" s="11">
        <f>J3/$H$587</f>
        <v>126.12927373261269</v>
      </c>
    </row>
    <row r="4" spans="1:14" x14ac:dyDescent="0.3">
      <c r="A4" s="8" t="s">
        <v>28</v>
      </c>
      <c r="B4" s="8" t="s">
        <v>30</v>
      </c>
      <c r="C4" s="9" t="s">
        <v>5</v>
      </c>
      <c r="D4" s="10">
        <v>0.4</v>
      </c>
      <c r="E4" s="14">
        <v>7679660205.8400002</v>
      </c>
      <c r="F4" s="14">
        <f t="shared" ref="F4:F67" si="0">E4*0.3</f>
        <v>2303898061.7519999</v>
      </c>
      <c r="G4" s="14">
        <v>2402571.1949999998</v>
      </c>
      <c r="H4" s="14">
        <f t="shared" ref="H4:H67" si="1">G4*0.3</f>
        <v>720771.35849999997</v>
      </c>
      <c r="I4" s="14">
        <f>E4*D4</f>
        <v>3071864082.3360004</v>
      </c>
      <c r="J4" s="14">
        <f t="shared" ref="J4:J67" si="2">I4*0.3</f>
        <v>921559224.70080006</v>
      </c>
      <c r="K4" s="11">
        <f t="shared" ref="K4:K67" si="3">J4/$H$587</f>
        <v>23.709801430727083</v>
      </c>
      <c r="N4" s="4"/>
    </row>
    <row r="5" spans="1:14" x14ac:dyDescent="0.3">
      <c r="A5" s="8" t="s">
        <v>28</v>
      </c>
      <c r="B5" s="8" t="s">
        <v>31</v>
      </c>
      <c r="C5" s="9" t="s">
        <v>5</v>
      </c>
      <c r="D5" s="10">
        <v>0.4</v>
      </c>
      <c r="E5" s="14">
        <v>6125961110</v>
      </c>
      <c r="F5" s="14">
        <f t="shared" si="0"/>
        <v>1837788333</v>
      </c>
      <c r="G5" s="14">
        <v>3289210.24</v>
      </c>
      <c r="H5" s="14">
        <f t="shared" si="1"/>
        <v>986763.07200000004</v>
      </c>
      <c r="I5" s="14">
        <f>E5*D5</f>
        <v>2450384444</v>
      </c>
      <c r="J5" s="14">
        <f t="shared" si="2"/>
        <v>735115333.19999993</v>
      </c>
      <c r="K5" s="11">
        <f t="shared" si="3"/>
        <v>18.912988022569618</v>
      </c>
    </row>
    <row r="6" spans="1:14" x14ac:dyDescent="0.3">
      <c r="A6" s="8" t="s">
        <v>28</v>
      </c>
      <c r="B6" s="8" t="s">
        <v>32</v>
      </c>
      <c r="C6" s="9" t="s">
        <v>5</v>
      </c>
      <c r="D6" s="10">
        <v>0.4</v>
      </c>
      <c r="E6" s="14">
        <v>4124900702.3200002</v>
      </c>
      <c r="F6" s="14">
        <f t="shared" si="0"/>
        <v>1237470210.6960001</v>
      </c>
      <c r="G6" s="14">
        <v>1898816.7209999999</v>
      </c>
      <c r="H6" s="14">
        <f t="shared" si="1"/>
        <v>569645.0162999999</v>
      </c>
      <c r="I6" s="14">
        <f t="shared" ref="I6:I69" si="4">E6*D6</f>
        <v>1649960280.9280002</v>
      </c>
      <c r="J6" s="14">
        <f t="shared" si="2"/>
        <v>494988084.27840006</v>
      </c>
      <c r="K6" s="11">
        <f t="shared" si="3"/>
        <v>12.73501352300736</v>
      </c>
    </row>
    <row r="7" spans="1:14" x14ac:dyDescent="0.3">
      <c r="A7" s="8" t="s">
        <v>28</v>
      </c>
      <c r="B7" s="8" t="s">
        <v>33</v>
      </c>
      <c r="C7" s="9" t="s">
        <v>5</v>
      </c>
      <c r="D7" s="10">
        <v>0.4</v>
      </c>
      <c r="E7" s="14">
        <v>2887511137</v>
      </c>
      <c r="F7" s="14">
        <f t="shared" si="0"/>
        <v>866253341.10000002</v>
      </c>
      <c r="G7" s="14">
        <v>2146981.44</v>
      </c>
      <c r="H7" s="14">
        <f t="shared" si="1"/>
        <v>644094.43199999991</v>
      </c>
      <c r="I7" s="14">
        <f t="shared" si="4"/>
        <v>1155004454.8</v>
      </c>
      <c r="J7" s="14">
        <f t="shared" si="2"/>
        <v>346501336.44</v>
      </c>
      <c r="K7" s="11">
        <f t="shared" si="3"/>
        <v>8.9147584466329377</v>
      </c>
    </row>
    <row r="8" spans="1:14" x14ac:dyDescent="0.3">
      <c r="A8" s="8" t="s">
        <v>28</v>
      </c>
      <c r="B8" s="8" t="s">
        <v>34</v>
      </c>
      <c r="C8" s="9" t="s">
        <v>5</v>
      </c>
      <c r="D8" s="10">
        <v>0.4</v>
      </c>
      <c r="E8" s="14">
        <v>2416502970</v>
      </c>
      <c r="F8" s="14">
        <f t="shared" si="0"/>
        <v>724950891</v>
      </c>
      <c r="G8" s="14">
        <v>1527313.89</v>
      </c>
      <c r="H8" s="14">
        <f t="shared" si="1"/>
        <v>458194.16699999996</v>
      </c>
      <c r="I8" s="14">
        <f t="shared" si="4"/>
        <v>966601188</v>
      </c>
      <c r="J8" s="14">
        <f t="shared" si="2"/>
        <v>289980356.39999998</v>
      </c>
      <c r="K8" s="11">
        <f t="shared" si="3"/>
        <v>7.4605912292698031</v>
      </c>
    </row>
    <row r="9" spans="1:14" x14ac:dyDescent="0.3">
      <c r="A9" s="8" t="s">
        <v>28</v>
      </c>
      <c r="B9" s="8" t="s">
        <v>35</v>
      </c>
      <c r="C9" s="9" t="s">
        <v>5</v>
      </c>
      <c r="D9" s="10">
        <v>0.4</v>
      </c>
      <c r="E9" s="14">
        <v>2380410343.5</v>
      </c>
      <c r="F9" s="14">
        <f t="shared" si="0"/>
        <v>714123103.04999995</v>
      </c>
      <c r="G9" s="14">
        <v>1734536.21</v>
      </c>
      <c r="H9" s="14">
        <f t="shared" si="1"/>
        <v>520360.86299999995</v>
      </c>
      <c r="I9" s="14">
        <f t="shared" si="4"/>
        <v>952164137.4000001</v>
      </c>
      <c r="J9" s="14">
        <f t="shared" si="2"/>
        <v>285649241.22000003</v>
      </c>
      <c r="K9" s="11">
        <f t="shared" si="3"/>
        <v>7.3491606471227398</v>
      </c>
    </row>
    <row r="10" spans="1:14" x14ac:dyDescent="0.3">
      <c r="A10" s="8" t="s">
        <v>28</v>
      </c>
      <c r="B10" s="8" t="s">
        <v>36</v>
      </c>
      <c r="C10" s="9" t="s">
        <v>5</v>
      </c>
      <c r="D10" s="10">
        <v>0.4</v>
      </c>
      <c r="E10" s="14">
        <v>2270063670</v>
      </c>
      <c r="F10" s="14">
        <f t="shared" si="0"/>
        <v>681019101</v>
      </c>
      <c r="G10" s="14">
        <v>1297596.81</v>
      </c>
      <c r="H10" s="14">
        <f t="shared" si="1"/>
        <v>389279.04300000001</v>
      </c>
      <c r="I10" s="14">
        <f t="shared" si="4"/>
        <v>908025468</v>
      </c>
      <c r="J10" s="14">
        <f t="shared" si="2"/>
        <v>272407640.39999998</v>
      </c>
      <c r="K10" s="11">
        <f t="shared" si="3"/>
        <v>7.008481808853734</v>
      </c>
    </row>
    <row r="11" spans="1:14" x14ac:dyDescent="0.3">
      <c r="A11" s="8" t="s">
        <v>28</v>
      </c>
      <c r="B11" s="8" t="s">
        <v>37</v>
      </c>
      <c r="C11" s="9" t="s">
        <v>5</v>
      </c>
      <c r="D11" s="10">
        <v>0.4</v>
      </c>
      <c r="E11" s="14">
        <v>1603610640</v>
      </c>
      <c r="F11" s="14">
        <f t="shared" si="0"/>
        <v>481083192</v>
      </c>
      <c r="G11" s="14">
        <v>1017670.77</v>
      </c>
      <c r="H11" s="14">
        <f t="shared" si="1"/>
        <v>305301.23099999997</v>
      </c>
      <c r="I11" s="14">
        <f t="shared" si="4"/>
        <v>641444256</v>
      </c>
      <c r="J11" s="14">
        <f t="shared" si="2"/>
        <v>192433276.79999998</v>
      </c>
      <c r="K11" s="11">
        <f t="shared" si="3"/>
        <v>4.9509078302302836</v>
      </c>
    </row>
    <row r="12" spans="1:14" x14ac:dyDescent="0.3">
      <c r="A12" s="8" t="s">
        <v>28</v>
      </c>
      <c r="B12" s="8" t="s">
        <v>38</v>
      </c>
      <c r="C12" s="9" t="s">
        <v>5</v>
      </c>
      <c r="D12" s="10">
        <v>0.4</v>
      </c>
      <c r="E12" s="14">
        <v>1354327170</v>
      </c>
      <c r="F12" s="14">
        <f t="shared" si="0"/>
        <v>406298151</v>
      </c>
      <c r="G12" s="14">
        <v>1152869.3700000001</v>
      </c>
      <c r="H12" s="14">
        <f t="shared" si="1"/>
        <v>345860.81100000005</v>
      </c>
      <c r="I12" s="14">
        <f t="shared" si="4"/>
        <v>541730868</v>
      </c>
      <c r="J12" s="14">
        <f t="shared" si="2"/>
        <v>162519260.40000001</v>
      </c>
      <c r="K12" s="11">
        <f t="shared" si="3"/>
        <v>4.1812824281626249</v>
      </c>
    </row>
    <row r="13" spans="1:14" ht="15.6" customHeight="1" x14ac:dyDescent="0.3">
      <c r="A13" s="8" t="s">
        <v>28</v>
      </c>
      <c r="B13" s="8" t="s">
        <v>39</v>
      </c>
      <c r="C13" s="9" t="s">
        <v>5</v>
      </c>
      <c r="D13" s="10">
        <v>0.4</v>
      </c>
      <c r="E13" s="14">
        <v>1353138029.2</v>
      </c>
      <c r="F13" s="14">
        <f t="shared" si="0"/>
        <v>405941408.75999999</v>
      </c>
      <c r="G13" s="14">
        <v>439362.37</v>
      </c>
      <c r="H13" s="14">
        <f t="shared" si="1"/>
        <v>131808.71099999998</v>
      </c>
      <c r="I13" s="14">
        <f t="shared" si="4"/>
        <v>541255211.68000007</v>
      </c>
      <c r="J13" s="14">
        <f t="shared" si="2"/>
        <v>162376563.50400001</v>
      </c>
      <c r="K13" s="11">
        <f t="shared" si="3"/>
        <v>4.1776111339275319</v>
      </c>
    </row>
    <row r="14" spans="1:14" ht="15.6" customHeight="1" x14ac:dyDescent="0.3">
      <c r="A14" s="8" t="s">
        <v>28</v>
      </c>
      <c r="B14" s="8" t="s">
        <v>41</v>
      </c>
      <c r="C14" s="9" t="s">
        <v>5</v>
      </c>
      <c r="D14" s="10">
        <v>0.4</v>
      </c>
      <c r="E14" s="14">
        <v>1277221430</v>
      </c>
      <c r="F14" s="14">
        <f t="shared" si="0"/>
        <v>383166429</v>
      </c>
      <c r="G14" s="14">
        <v>828702.37</v>
      </c>
      <c r="H14" s="14">
        <f t="shared" si="1"/>
        <v>248610.71099999998</v>
      </c>
      <c r="I14" s="14">
        <f t="shared" si="4"/>
        <v>510888572</v>
      </c>
      <c r="J14" s="14">
        <f t="shared" si="2"/>
        <v>153266571.59999999</v>
      </c>
      <c r="K14" s="11">
        <f t="shared" si="3"/>
        <v>3.9432299967309521</v>
      </c>
    </row>
    <row r="15" spans="1:14" ht="14.4" hidden="1" customHeight="1" x14ac:dyDescent="0.3">
      <c r="A15" s="8" t="s">
        <v>28</v>
      </c>
      <c r="B15" s="8" t="s">
        <v>40</v>
      </c>
      <c r="C15" s="9" t="s">
        <v>5</v>
      </c>
      <c r="D15" s="10">
        <v>0.4</v>
      </c>
      <c r="E15" s="14">
        <v>1337391529.3900001</v>
      </c>
      <c r="F15" s="14">
        <f t="shared" si="0"/>
        <v>401217458.81700003</v>
      </c>
      <c r="G15" s="14">
        <v>984541.1</v>
      </c>
      <c r="H15" s="14">
        <f t="shared" si="1"/>
        <v>295362.32999999996</v>
      </c>
      <c r="I15" s="14">
        <f t="shared" si="4"/>
        <v>534956611.75600004</v>
      </c>
      <c r="J15" s="14">
        <f t="shared" si="2"/>
        <v>160486983.52680001</v>
      </c>
      <c r="K15" s="11">
        <f t="shared" si="3"/>
        <v>4.1289961726249249</v>
      </c>
    </row>
    <row r="16" spans="1:14" x14ac:dyDescent="0.3">
      <c r="A16" s="8" t="s">
        <v>28</v>
      </c>
      <c r="B16" s="8" t="s">
        <v>42</v>
      </c>
      <c r="C16" s="9" t="s">
        <v>5</v>
      </c>
      <c r="D16" s="10">
        <v>0.4</v>
      </c>
      <c r="E16" s="14">
        <v>1274482207</v>
      </c>
      <c r="F16" s="14">
        <f t="shared" si="0"/>
        <v>382344662.09999996</v>
      </c>
      <c r="G16" s="14">
        <v>885924.71</v>
      </c>
      <c r="H16" s="14">
        <f t="shared" si="1"/>
        <v>265777.413</v>
      </c>
      <c r="I16" s="14">
        <f t="shared" si="4"/>
        <v>509792882.80000001</v>
      </c>
      <c r="J16" s="14">
        <f t="shared" si="2"/>
        <v>152937864.84</v>
      </c>
      <c r="K16" s="11">
        <f t="shared" si="3"/>
        <v>3.934773055712248</v>
      </c>
    </row>
    <row r="17" spans="1:11" x14ac:dyDescent="0.3">
      <c r="A17" s="8" t="s">
        <v>28</v>
      </c>
      <c r="B17" s="8" t="s">
        <v>43</v>
      </c>
      <c r="C17" s="9" t="s">
        <v>5</v>
      </c>
      <c r="D17" s="10">
        <v>0.4</v>
      </c>
      <c r="E17" s="14">
        <v>997434888</v>
      </c>
      <c r="F17" s="14">
        <f t="shared" si="0"/>
        <v>299230466.39999998</v>
      </c>
      <c r="G17" s="14">
        <v>753853.68499999994</v>
      </c>
      <c r="H17" s="14">
        <f t="shared" si="1"/>
        <v>226156.10549999998</v>
      </c>
      <c r="I17" s="14">
        <f t="shared" si="4"/>
        <v>398973955.20000005</v>
      </c>
      <c r="J17" s="14">
        <f t="shared" si="2"/>
        <v>119692186.56000002</v>
      </c>
      <c r="K17" s="11">
        <f t="shared" si="3"/>
        <v>3.0794309254171992</v>
      </c>
    </row>
    <row r="18" spans="1:11" x14ac:dyDescent="0.3">
      <c r="A18" s="8" t="s">
        <v>28</v>
      </c>
      <c r="B18" s="8" t="s">
        <v>44</v>
      </c>
      <c r="C18" s="9" t="s">
        <v>5</v>
      </c>
      <c r="D18" s="10">
        <v>0.4</v>
      </c>
      <c r="E18" s="14">
        <v>981896530</v>
      </c>
      <c r="F18" s="14">
        <f t="shared" si="0"/>
        <v>294568959</v>
      </c>
      <c r="G18" s="14">
        <v>825008.58</v>
      </c>
      <c r="H18" s="14">
        <f t="shared" si="1"/>
        <v>247502.57399999996</v>
      </c>
      <c r="I18" s="14">
        <f t="shared" si="4"/>
        <v>392758612</v>
      </c>
      <c r="J18" s="14">
        <f t="shared" si="2"/>
        <v>117827583.59999999</v>
      </c>
      <c r="K18" s="11">
        <f t="shared" si="3"/>
        <v>3.031458570799296</v>
      </c>
    </row>
    <row r="19" spans="1:11" x14ac:dyDescent="0.3">
      <c r="A19" s="8" t="s">
        <v>28</v>
      </c>
      <c r="B19" s="8" t="s">
        <v>45</v>
      </c>
      <c r="C19" s="9" t="s">
        <v>5</v>
      </c>
      <c r="D19" s="10">
        <v>0.4</v>
      </c>
      <c r="E19" s="14">
        <v>963195960</v>
      </c>
      <c r="F19" s="14">
        <f t="shared" si="0"/>
        <v>288958788</v>
      </c>
      <c r="G19" s="14">
        <v>580330.47</v>
      </c>
      <c r="H19" s="14">
        <f t="shared" si="1"/>
        <v>174099.14099999997</v>
      </c>
      <c r="I19" s="14">
        <f t="shared" si="4"/>
        <v>385278384</v>
      </c>
      <c r="J19" s="14">
        <f t="shared" si="2"/>
        <v>115583515.2</v>
      </c>
      <c r="K19" s="11">
        <f t="shared" si="3"/>
        <v>2.9737233599361597</v>
      </c>
    </row>
    <row r="20" spans="1:11" x14ac:dyDescent="0.3">
      <c r="A20" s="8" t="s">
        <v>28</v>
      </c>
      <c r="B20" s="8" t="s">
        <v>46</v>
      </c>
      <c r="C20" s="9" t="s">
        <v>5</v>
      </c>
      <c r="D20" s="10">
        <v>0.4</v>
      </c>
      <c r="E20" s="14">
        <v>835805760</v>
      </c>
      <c r="F20" s="14">
        <f t="shared" si="0"/>
        <v>250741728</v>
      </c>
      <c r="G20" s="14">
        <v>616723.85</v>
      </c>
      <c r="H20" s="14">
        <f t="shared" si="1"/>
        <v>185017.155</v>
      </c>
      <c r="I20" s="14">
        <f t="shared" si="4"/>
        <v>334322304</v>
      </c>
      <c r="J20" s="14">
        <f t="shared" si="2"/>
        <v>100296691.2</v>
      </c>
      <c r="K20" s="11">
        <f t="shared" si="3"/>
        <v>2.5804251845919239</v>
      </c>
    </row>
    <row r="21" spans="1:11" x14ac:dyDescent="0.3">
      <c r="A21" s="8" t="s">
        <v>28</v>
      </c>
      <c r="B21" s="8" t="s">
        <v>47</v>
      </c>
      <c r="C21" s="9" t="s">
        <v>5</v>
      </c>
      <c r="D21" s="10">
        <v>0.4</v>
      </c>
      <c r="E21" s="14">
        <v>779639290</v>
      </c>
      <c r="F21" s="14">
        <f t="shared" si="0"/>
        <v>233891787</v>
      </c>
      <c r="G21" s="14">
        <v>513490.97</v>
      </c>
      <c r="H21" s="14">
        <f t="shared" si="1"/>
        <v>154047.291</v>
      </c>
      <c r="I21" s="14">
        <f t="shared" si="4"/>
        <v>311855716</v>
      </c>
      <c r="J21" s="14">
        <f t="shared" si="2"/>
        <v>93556714.799999997</v>
      </c>
      <c r="K21" s="11">
        <f t="shared" si="3"/>
        <v>2.4070196151954808</v>
      </c>
    </row>
    <row r="22" spans="1:11" x14ac:dyDescent="0.3">
      <c r="A22" s="8" t="s">
        <v>28</v>
      </c>
      <c r="B22" s="8" t="s">
        <v>48</v>
      </c>
      <c r="C22" s="9" t="s">
        <v>5</v>
      </c>
      <c r="D22" s="10">
        <v>0.4</v>
      </c>
      <c r="E22" s="14">
        <v>763508506</v>
      </c>
      <c r="F22" s="14">
        <f t="shared" si="0"/>
        <v>229052551.79999998</v>
      </c>
      <c r="G22" s="14">
        <v>550288.43500000006</v>
      </c>
      <c r="H22" s="14">
        <f t="shared" si="1"/>
        <v>165086.53050000002</v>
      </c>
      <c r="I22" s="14">
        <f t="shared" si="4"/>
        <v>305403402.40000004</v>
      </c>
      <c r="J22" s="14">
        <f t="shared" si="2"/>
        <v>91621020.720000014</v>
      </c>
      <c r="K22" s="11">
        <f t="shared" si="3"/>
        <v>2.357218233974069</v>
      </c>
    </row>
    <row r="23" spans="1:11" x14ac:dyDescent="0.3">
      <c r="A23" s="8" t="s">
        <v>28</v>
      </c>
      <c r="B23" s="8" t="s">
        <v>49</v>
      </c>
      <c r="C23" s="9" t="s">
        <v>5</v>
      </c>
      <c r="D23" s="10">
        <v>0.4</v>
      </c>
      <c r="E23" s="14">
        <v>753979170</v>
      </c>
      <c r="F23" s="14">
        <f t="shared" si="0"/>
        <v>226193751</v>
      </c>
      <c r="G23" s="14">
        <v>556300.44999999995</v>
      </c>
      <c r="H23" s="14">
        <f t="shared" si="1"/>
        <v>166890.13499999998</v>
      </c>
      <c r="I23" s="14">
        <f t="shared" si="4"/>
        <v>301591668</v>
      </c>
      <c r="J23" s="14">
        <f t="shared" si="2"/>
        <v>90477500.399999991</v>
      </c>
      <c r="K23" s="11">
        <f t="shared" si="3"/>
        <v>2.327797835379497</v>
      </c>
    </row>
    <row r="24" spans="1:11" x14ac:dyDescent="0.3">
      <c r="A24" s="8" t="s">
        <v>28</v>
      </c>
      <c r="B24" s="8" t="s">
        <v>50</v>
      </c>
      <c r="C24" s="9" t="s">
        <v>5</v>
      </c>
      <c r="D24" s="10">
        <v>0.4</v>
      </c>
      <c r="E24" s="14">
        <v>746252880.27999997</v>
      </c>
      <c r="F24" s="14">
        <f t="shared" si="0"/>
        <v>223875864.08399999</v>
      </c>
      <c r="G24" s="14">
        <v>475799.95</v>
      </c>
      <c r="H24" s="14">
        <f t="shared" si="1"/>
        <v>142739.98499999999</v>
      </c>
      <c r="I24" s="14">
        <f t="shared" si="4"/>
        <v>298501152.11199999</v>
      </c>
      <c r="J24" s="14">
        <f t="shared" si="2"/>
        <v>89550345.633599997</v>
      </c>
      <c r="K24" s="11">
        <f t="shared" si="3"/>
        <v>2.303944072303084</v>
      </c>
    </row>
    <row r="25" spans="1:11" x14ac:dyDescent="0.3">
      <c r="A25" s="8" t="s">
        <v>28</v>
      </c>
      <c r="B25" s="8" t="s">
        <v>51</v>
      </c>
      <c r="C25" s="9" t="s">
        <v>5</v>
      </c>
      <c r="D25" s="10">
        <v>0.4</v>
      </c>
      <c r="E25" s="14">
        <v>728720966.25999999</v>
      </c>
      <c r="F25" s="14">
        <f t="shared" si="0"/>
        <v>218616289.87799999</v>
      </c>
      <c r="G25" s="14">
        <v>486157.19</v>
      </c>
      <c r="H25" s="14">
        <f t="shared" si="1"/>
        <v>145847.15700000001</v>
      </c>
      <c r="I25" s="14">
        <f t="shared" si="4"/>
        <v>291488386.50400001</v>
      </c>
      <c r="J25" s="14">
        <f t="shared" si="2"/>
        <v>87446515.951199993</v>
      </c>
      <c r="K25" s="11">
        <f t="shared" si="3"/>
        <v>2.2498169118593601</v>
      </c>
    </row>
    <row r="26" spans="1:11" x14ac:dyDescent="0.3">
      <c r="A26" s="8" t="s">
        <v>28</v>
      </c>
      <c r="B26" s="8" t="s">
        <v>52</v>
      </c>
      <c r="C26" s="9" t="s">
        <v>5</v>
      </c>
      <c r="D26" s="10">
        <v>0.4</v>
      </c>
      <c r="E26" s="14">
        <v>685148330</v>
      </c>
      <c r="F26" s="14">
        <f t="shared" si="0"/>
        <v>205544499</v>
      </c>
      <c r="G26" s="14">
        <v>598912.02</v>
      </c>
      <c r="H26" s="14">
        <f t="shared" si="1"/>
        <v>179673.606</v>
      </c>
      <c r="I26" s="14">
        <f t="shared" si="4"/>
        <v>274059332</v>
      </c>
      <c r="J26" s="14">
        <f t="shared" si="2"/>
        <v>82217799.599999994</v>
      </c>
      <c r="K26" s="11">
        <f t="shared" si="3"/>
        <v>2.1152929191503755</v>
      </c>
    </row>
    <row r="27" spans="1:11" x14ac:dyDescent="0.3">
      <c r="A27" s="8" t="s">
        <v>28</v>
      </c>
      <c r="B27" s="8" t="s">
        <v>53</v>
      </c>
      <c r="C27" s="9" t="s">
        <v>5</v>
      </c>
      <c r="D27" s="10">
        <v>0.4</v>
      </c>
      <c r="E27" s="14">
        <v>618134290</v>
      </c>
      <c r="F27" s="14">
        <f t="shared" si="0"/>
        <v>185440287</v>
      </c>
      <c r="G27" s="14">
        <v>408140.72600000002</v>
      </c>
      <c r="H27" s="14">
        <f t="shared" si="1"/>
        <v>122442.2178</v>
      </c>
      <c r="I27" s="14">
        <f t="shared" si="4"/>
        <v>247253716</v>
      </c>
      <c r="J27" s="14">
        <f t="shared" si="2"/>
        <v>74176114.799999997</v>
      </c>
      <c r="K27" s="11">
        <f t="shared" si="3"/>
        <v>1.908397100991321</v>
      </c>
    </row>
    <row r="28" spans="1:11" x14ac:dyDescent="0.3">
      <c r="A28" s="8" t="s">
        <v>28</v>
      </c>
      <c r="B28" s="8" t="s">
        <v>54</v>
      </c>
      <c r="C28" s="9" t="s">
        <v>5</v>
      </c>
      <c r="D28" s="10">
        <v>0.4</v>
      </c>
      <c r="E28" s="14">
        <v>609835160</v>
      </c>
      <c r="F28" s="14">
        <f t="shared" si="0"/>
        <v>182950548</v>
      </c>
      <c r="G28" s="14">
        <v>457474.98</v>
      </c>
      <c r="H28" s="14">
        <f t="shared" si="1"/>
        <v>137242.49399999998</v>
      </c>
      <c r="I28" s="14">
        <f t="shared" si="4"/>
        <v>243934064</v>
      </c>
      <c r="J28" s="14">
        <f t="shared" si="2"/>
        <v>73180219.200000003</v>
      </c>
      <c r="K28" s="11">
        <f t="shared" si="3"/>
        <v>1.8827747792904006</v>
      </c>
    </row>
    <row r="29" spans="1:11" x14ac:dyDescent="0.3">
      <c r="A29" s="8" t="s">
        <v>28</v>
      </c>
      <c r="B29" s="8" t="s">
        <v>55</v>
      </c>
      <c r="C29" s="9" t="s">
        <v>5</v>
      </c>
      <c r="D29" s="10">
        <v>0.4</v>
      </c>
      <c r="E29" s="14">
        <v>567788921.79999995</v>
      </c>
      <c r="F29" s="14">
        <f t="shared" si="0"/>
        <v>170336676.53999999</v>
      </c>
      <c r="G29" s="14">
        <v>492152.36</v>
      </c>
      <c r="H29" s="14">
        <f t="shared" si="1"/>
        <v>147645.70799999998</v>
      </c>
      <c r="I29" s="14">
        <f t="shared" si="4"/>
        <v>227115568.72</v>
      </c>
      <c r="J29" s="14">
        <f t="shared" si="2"/>
        <v>68134670.615999997</v>
      </c>
      <c r="K29" s="11">
        <f t="shared" si="3"/>
        <v>1.752963312127706</v>
      </c>
    </row>
    <row r="30" spans="1:11" x14ac:dyDescent="0.3">
      <c r="A30" s="8" t="s">
        <v>28</v>
      </c>
      <c r="B30" s="8" t="s">
        <v>56</v>
      </c>
      <c r="C30" s="9" t="s">
        <v>5</v>
      </c>
      <c r="D30" s="10">
        <v>0.4</v>
      </c>
      <c r="E30" s="14">
        <v>488524000</v>
      </c>
      <c r="F30" s="14">
        <f t="shared" si="0"/>
        <v>146557200</v>
      </c>
      <c r="G30" s="14">
        <v>251673.5</v>
      </c>
      <c r="H30" s="14">
        <f t="shared" si="1"/>
        <v>75502.05</v>
      </c>
      <c r="I30" s="14">
        <f t="shared" si="4"/>
        <v>195409600</v>
      </c>
      <c r="J30" s="14">
        <f t="shared" si="2"/>
        <v>58622880</v>
      </c>
      <c r="K30" s="11">
        <f t="shared" si="3"/>
        <v>1.508244730064537</v>
      </c>
    </row>
    <row r="31" spans="1:11" x14ac:dyDescent="0.3">
      <c r="A31" s="8" t="s">
        <v>28</v>
      </c>
      <c r="B31" s="8" t="s">
        <v>57</v>
      </c>
      <c r="C31" s="9" t="s">
        <v>5</v>
      </c>
      <c r="D31" s="10">
        <v>0.4</v>
      </c>
      <c r="E31" s="14">
        <v>455584625</v>
      </c>
      <c r="F31" s="14">
        <f t="shared" si="0"/>
        <v>136675387.5</v>
      </c>
      <c r="G31" s="14">
        <v>217619.98800000001</v>
      </c>
      <c r="H31" s="14">
        <f t="shared" si="1"/>
        <v>65285.996400000004</v>
      </c>
      <c r="I31" s="14">
        <f t="shared" si="4"/>
        <v>182233850</v>
      </c>
      <c r="J31" s="14">
        <f t="shared" si="2"/>
        <v>54670155</v>
      </c>
      <c r="K31" s="11">
        <f t="shared" si="3"/>
        <v>1.4065493399601212</v>
      </c>
    </row>
    <row r="32" spans="1:11" x14ac:dyDescent="0.3">
      <c r="A32" s="8" t="s">
        <v>28</v>
      </c>
      <c r="B32" s="8" t="s">
        <v>58</v>
      </c>
      <c r="C32" s="9" t="s">
        <v>5</v>
      </c>
      <c r="D32" s="10">
        <v>0.4</v>
      </c>
      <c r="E32" s="14">
        <v>451410365</v>
      </c>
      <c r="F32" s="14">
        <f t="shared" si="0"/>
        <v>135423109.5</v>
      </c>
      <c r="G32" s="14">
        <v>328198.59999999998</v>
      </c>
      <c r="H32" s="14">
        <f t="shared" si="1"/>
        <v>98459.579999999987</v>
      </c>
      <c r="I32" s="14">
        <f t="shared" si="4"/>
        <v>180564146</v>
      </c>
      <c r="J32" s="14">
        <f t="shared" si="2"/>
        <v>54169243.799999997</v>
      </c>
      <c r="K32" s="11">
        <f t="shared" si="3"/>
        <v>1.3936619369933902</v>
      </c>
    </row>
    <row r="33" spans="1:11" x14ac:dyDescent="0.3">
      <c r="A33" s="8" t="s">
        <v>28</v>
      </c>
      <c r="B33" s="8" t="s">
        <v>59</v>
      </c>
      <c r="C33" s="9" t="s">
        <v>5</v>
      </c>
      <c r="D33" s="10">
        <v>0.4</v>
      </c>
      <c r="E33" s="14">
        <v>420415660</v>
      </c>
      <c r="F33" s="14">
        <f t="shared" si="0"/>
        <v>126124698</v>
      </c>
      <c r="G33" s="14">
        <v>179778</v>
      </c>
      <c r="H33" s="14">
        <f t="shared" si="1"/>
        <v>53933.4</v>
      </c>
      <c r="I33" s="14">
        <f t="shared" si="4"/>
        <v>168166264</v>
      </c>
      <c r="J33" s="14">
        <f t="shared" si="2"/>
        <v>50449879.199999996</v>
      </c>
      <c r="K33" s="11">
        <f t="shared" si="3"/>
        <v>1.2979704244450714</v>
      </c>
    </row>
    <row r="34" spans="1:11" x14ac:dyDescent="0.3">
      <c r="A34" s="8" t="s">
        <v>28</v>
      </c>
      <c r="B34" s="8" t="s">
        <v>60</v>
      </c>
      <c r="C34" s="9" t="s">
        <v>5</v>
      </c>
      <c r="D34" s="10">
        <v>0.4</v>
      </c>
      <c r="E34" s="14">
        <v>306900220</v>
      </c>
      <c r="F34" s="14">
        <f t="shared" si="0"/>
        <v>92070066</v>
      </c>
      <c r="G34" s="14">
        <v>286385.96999999997</v>
      </c>
      <c r="H34" s="14">
        <f t="shared" si="1"/>
        <v>85915.790999999983</v>
      </c>
      <c r="I34" s="14">
        <f t="shared" si="4"/>
        <v>122760088</v>
      </c>
      <c r="J34" s="14">
        <f t="shared" si="2"/>
        <v>36828026.399999999</v>
      </c>
      <c r="K34" s="11">
        <f t="shared" si="3"/>
        <v>0.94750849389312897</v>
      </c>
    </row>
    <row r="35" spans="1:11" x14ac:dyDescent="0.3">
      <c r="A35" s="8" t="s">
        <v>28</v>
      </c>
      <c r="B35" s="8" t="s">
        <v>61</v>
      </c>
      <c r="C35" s="9" t="s">
        <v>5</v>
      </c>
      <c r="D35" s="10">
        <v>0.4</v>
      </c>
      <c r="E35" s="14">
        <v>254754703.19999999</v>
      </c>
      <c r="F35" s="14">
        <f t="shared" si="0"/>
        <v>76426410.959999993</v>
      </c>
      <c r="G35" s="14">
        <v>183804.96</v>
      </c>
      <c r="H35" s="14">
        <f t="shared" si="1"/>
        <v>55141.487999999998</v>
      </c>
      <c r="I35" s="14">
        <f t="shared" si="4"/>
        <v>101901881.28</v>
      </c>
      <c r="J35" s="14">
        <f t="shared" si="2"/>
        <v>30570564.384</v>
      </c>
      <c r="K35" s="11">
        <f t="shared" si="3"/>
        <v>0.78651701566464538</v>
      </c>
    </row>
    <row r="36" spans="1:11" x14ac:dyDescent="0.3">
      <c r="A36" s="8" t="s">
        <v>28</v>
      </c>
      <c r="B36" s="8" t="s">
        <v>62</v>
      </c>
      <c r="C36" s="9" t="s">
        <v>5</v>
      </c>
      <c r="D36" s="10">
        <v>0.4</v>
      </c>
      <c r="E36" s="14">
        <v>206962550</v>
      </c>
      <c r="F36" s="14">
        <f t="shared" si="0"/>
        <v>62088765</v>
      </c>
      <c r="G36" s="14">
        <v>126570.92</v>
      </c>
      <c r="H36" s="14">
        <f t="shared" si="1"/>
        <v>37971.275999999998</v>
      </c>
      <c r="I36" s="14">
        <f t="shared" si="4"/>
        <v>82785020</v>
      </c>
      <c r="J36" s="14">
        <f t="shared" si="2"/>
        <v>24835506</v>
      </c>
      <c r="K36" s="11">
        <f t="shared" si="3"/>
        <v>0.63896589596052233</v>
      </c>
    </row>
    <row r="37" spans="1:11" x14ac:dyDescent="0.3">
      <c r="A37" s="8" t="s">
        <v>28</v>
      </c>
      <c r="B37" s="8" t="s">
        <v>63</v>
      </c>
      <c r="C37" s="9" t="s">
        <v>5</v>
      </c>
      <c r="D37" s="10">
        <v>0.4</v>
      </c>
      <c r="E37" s="14">
        <v>129373980</v>
      </c>
      <c r="F37" s="14">
        <f t="shared" si="0"/>
        <v>38812194</v>
      </c>
      <c r="G37" s="14">
        <v>103414.24</v>
      </c>
      <c r="H37" s="14">
        <f t="shared" si="1"/>
        <v>31024.272000000001</v>
      </c>
      <c r="I37" s="14">
        <f t="shared" si="4"/>
        <v>51749592</v>
      </c>
      <c r="J37" s="14">
        <f t="shared" si="2"/>
        <v>15524877.6</v>
      </c>
      <c r="K37" s="11">
        <f t="shared" si="3"/>
        <v>0.39942279917153461</v>
      </c>
    </row>
    <row r="38" spans="1:11" x14ac:dyDescent="0.3">
      <c r="A38" s="8" t="s">
        <v>28</v>
      </c>
      <c r="B38" s="8" t="s">
        <v>64</v>
      </c>
      <c r="C38" s="9" t="s">
        <v>5</v>
      </c>
      <c r="D38" s="10">
        <v>0.4</v>
      </c>
      <c r="E38" s="14">
        <v>123894820</v>
      </c>
      <c r="F38" s="14">
        <f t="shared" si="0"/>
        <v>37168446</v>
      </c>
      <c r="G38" s="14">
        <v>103698.58</v>
      </c>
      <c r="H38" s="14">
        <f t="shared" si="1"/>
        <v>31109.574000000001</v>
      </c>
      <c r="I38" s="14">
        <f t="shared" si="4"/>
        <v>49557928</v>
      </c>
      <c r="J38" s="14">
        <f t="shared" si="2"/>
        <v>14867378.4</v>
      </c>
      <c r="K38" s="11">
        <f t="shared" si="3"/>
        <v>0.38250671276599385</v>
      </c>
    </row>
    <row r="39" spans="1:11" x14ac:dyDescent="0.3">
      <c r="A39" s="8" t="s">
        <v>28</v>
      </c>
      <c r="B39" s="8" t="s">
        <v>65</v>
      </c>
      <c r="C39" s="9" t="s">
        <v>5</v>
      </c>
      <c r="D39" s="10">
        <v>0.4</v>
      </c>
      <c r="E39" s="14">
        <v>98269320</v>
      </c>
      <c r="F39" s="14">
        <f t="shared" si="0"/>
        <v>29480796</v>
      </c>
      <c r="G39" s="14">
        <v>63154.32</v>
      </c>
      <c r="H39" s="14">
        <f t="shared" si="1"/>
        <v>18946.295999999998</v>
      </c>
      <c r="I39" s="14">
        <f t="shared" si="4"/>
        <v>39307728</v>
      </c>
      <c r="J39" s="14">
        <f t="shared" si="2"/>
        <v>11792318.4</v>
      </c>
      <c r="K39" s="11">
        <f t="shared" si="3"/>
        <v>0.30339181701825418</v>
      </c>
    </row>
    <row r="40" spans="1:11" x14ac:dyDescent="0.3">
      <c r="A40" s="8" t="s">
        <v>28</v>
      </c>
      <c r="B40" s="8" t="s">
        <v>66</v>
      </c>
      <c r="C40" s="9" t="s">
        <v>5</v>
      </c>
      <c r="D40" s="10">
        <v>0.4</v>
      </c>
      <c r="E40" s="14">
        <v>65958290</v>
      </c>
      <c r="F40" s="14">
        <f t="shared" si="0"/>
        <v>19787487</v>
      </c>
      <c r="G40" s="14">
        <v>55596.49</v>
      </c>
      <c r="H40" s="14">
        <f t="shared" si="1"/>
        <v>16678.947</v>
      </c>
      <c r="I40" s="14">
        <f t="shared" si="4"/>
        <v>26383316</v>
      </c>
      <c r="J40" s="14">
        <f t="shared" si="2"/>
        <v>7914994.7999999998</v>
      </c>
      <c r="K40" s="11">
        <f t="shared" si="3"/>
        <v>0.2036363480536646</v>
      </c>
    </row>
    <row r="41" spans="1:11" x14ac:dyDescent="0.3">
      <c r="A41" s="8" t="s">
        <v>28</v>
      </c>
      <c r="B41" s="8" t="s">
        <v>67</v>
      </c>
      <c r="C41" s="9" t="s">
        <v>5</v>
      </c>
      <c r="D41" s="10">
        <v>0.4</v>
      </c>
      <c r="E41" s="14">
        <v>56013400</v>
      </c>
      <c r="F41" s="14">
        <f t="shared" si="0"/>
        <v>16804020</v>
      </c>
      <c r="G41" s="14">
        <v>39787.050000000003</v>
      </c>
      <c r="H41" s="14">
        <f t="shared" si="1"/>
        <v>11936.115</v>
      </c>
      <c r="I41" s="14">
        <f t="shared" si="4"/>
        <v>22405360</v>
      </c>
      <c r="J41" s="14">
        <f t="shared" si="2"/>
        <v>6721608</v>
      </c>
      <c r="K41" s="11">
        <f t="shared" si="3"/>
        <v>0.17293298868222837</v>
      </c>
    </row>
    <row r="42" spans="1:11" x14ac:dyDescent="0.3">
      <c r="A42" s="8" t="s">
        <v>28</v>
      </c>
      <c r="B42" s="8" t="s">
        <v>68</v>
      </c>
      <c r="C42" s="9" t="s">
        <v>5</v>
      </c>
      <c r="D42" s="10">
        <v>0.4</v>
      </c>
      <c r="E42" s="14">
        <v>47420000</v>
      </c>
      <c r="F42" s="14">
        <f t="shared" si="0"/>
        <v>14226000</v>
      </c>
      <c r="G42" s="14">
        <v>36007.5</v>
      </c>
      <c r="H42" s="14">
        <f t="shared" si="1"/>
        <v>10802.25</v>
      </c>
      <c r="I42" s="14">
        <f t="shared" si="4"/>
        <v>18968000</v>
      </c>
      <c r="J42" s="14">
        <f t="shared" si="2"/>
        <v>5690400</v>
      </c>
      <c r="K42" s="11">
        <f t="shared" si="3"/>
        <v>0.1464021524012338</v>
      </c>
    </row>
    <row r="43" spans="1:11" x14ac:dyDescent="0.3">
      <c r="A43" s="8" t="s">
        <v>28</v>
      </c>
      <c r="B43" s="8" t="s">
        <v>69</v>
      </c>
      <c r="C43" s="9" t="s">
        <v>5</v>
      </c>
      <c r="D43" s="10">
        <v>0.4</v>
      </c>
      <c r="E43" s="14">
        <v>37079980</v>
      </c>
      <c r="F43" s="14">
        <f t="shared" si="0"/>
        <v>11123994</v>
      </c>
      <c r="G43" s="14">
        <v>37951.24</v>
      </c>
      <c r="H43" s="14">
        <f t="shared" si="1"/>
        <v>11385.371999999999</v>
      </c>
      <c r="I43" s="14">
        <f t="shared" si="4"/>
        <v>14831992</v>
      </c>
      <c r="J43" s="14">
        <f t="shared" si="2"/>
        <v>4449597.5999999996</v>
      </c>
      <c r="K43" s="11">
        <f t="shared" si="3"/>
        <v>0.11447888829596585</v>
      </c>
    </row>
    <row r="44" spans="1:11" x14ac:dyDescent="0.3">
      <c r="A44" s="8" t="s">
        <v>28</v>
      </c>
      <c r="B44" s="8" t="s">
        <v>70</v>
      </c>
      <c r="C44" s="9" t="s">
        <v>5</v>
      </c>
      <c r="D44" s="10">
        <v>0.4</v>
      </c>
      <c r="E44" s="14">
        <v>21344000</v>
      </c>
      <c r="F44" s="14">
        <f t="shared" si="0"/>
        <v>6403200</v>
      </c>
      <c r="G44" s="14">
        <v>16361.4</v>
      </c>
      <c r="H44" s="14">
        <f t="shared" si="1"/>
        <v>4908.42</v>
      </c>
      <c r="I44" s="14">
        <f t="shared" si="4"/>
        <v>8537600</v>
      </c>
      <c r="J44" s="14">
        <f t="shared" si="2"/>
        <v>2561280</v>
      </c>
      <c r="K44" s="11">
        <f t="shared" si="3"/>
        <v>6.5896405332179123E-2</v>
      </c>
    </row>
    <row r="45" spans="1:11" x14ac:dyDescent="0.3">
      <c r="A45" s="8" t="s">
        <v>28</v>
      </c>
      <c r="B45" s="8" t="s">
        <v>71</v>
      </c>
      <c r="C45" s="9" t="s">
        <v>5</v>
      </c>
      <c r="D45" s="10">
        <v>0.4</v>
      </c>
      <c r="E45" s="14">
        <v>20437100</v>
      </c>
      <c r="F45" s="14">
        <f t="shared" si="0"/>
        <v>6131130</v>
      </c>
      <c r="G45" s="14">
        <v>16560.25</v>
      </c>
      <c r="H45" s="14">
        <f t="shared" si="1"/>
        <v>4968.0749999999998</v>
      </c>
      <c r="I45" s="14">
        <f t="shared" si="4"/>
        <v>8174840</v>
      </c>
      <c r="J45" s="14">
        <f t="shared" si="2"/>
        <v>2452452</v>
      </c>
      <c r="K45" s="11">
        <f t="shared" si="3"/>
        <v>6.3096487322632969E-2</v>
      </c>
    </row>
    <row r="46" spans="1:11" x14ac:dyDescent="0.3">
      <c r="A46" s="8" t="s">
        <v>28</v>
      </c>
      <c r="B46" s="8" t="s">
        <v>72</v>
      </c>
      <c r="C46" s="9" t="s">
        <v>5</v>
      </c>
      <c r="D46" s="10">
        <v>0.4</v>
      </c>
      <c r="E46" s="14">
        <v>13276350</v>
      </c>
      <c r="F46" s="14">
        <f t="shared" si="0"/>
        <v>3982905</v>
      </c>
      <c r="G46" s="14">
        <v>10704.16</v>
      </c>
      <c r="H46" s="14">
        <f t="shared" si="1"/>
        <v>3211.248</v>
      </c>
      <c r="I46" s="14">
        <f t="shared" si="4"/>
        <v>5310540</v>
      </c>
      <c r="J46" s="14">
        <f t="shared" si="2"/>
        <v>1593162</v>
      </c>
      <c r="K46" s="11">
        <f t="shared" si="3"/>
        <v>4.0988743484439483E-2</v>
      </c>
    </row>
    <row r="47" spans="1:11" x14ac:dyDescent="0.3">
      <c r="A47" s="8" t="s">
        <v>79</v>
      </c>
      <c r="B47" s="8" t="s">
        <v>81</v>
      </c>
      <c r="C47" s="9" t="s">
        <v>5</v>
      </c>
      <c r="D47" s="10">
        <v>0.4</v>
      </c>
      <c r="E47" s="14">
        <v>436158130</v>
      </c>
      <c r="F47" s="14">
        <f t="shared" si="0"/>
        <v>130847439</v>
      </c>
      <c r="G47" s="14">
        <v>392196.07</v>
      </c>
      <c r="H47" s="14">
        <f t="shared" si="1"/>
        <v>117658.821</v>
      </c>
      <c r="I47" s="14">
        <f t="shared" si="4"/>
        <v>174463252</v>
      </c>
      <c r="J47" s="14">
        <f t="shared" si="2"/>
        <v>52338975.600000001</v>
      </c>
      <c r="K47" s="11">
        <f t="shared" si="3"/>
        <v>1.3465729443124661</v>
      </c>
    </row>
    <row r="48" spans="1:11" x14ac:dyDescent="0.3">
      <c r="A48" s="8" t="s">
        <v>79</v>
      </c>
      <c r="B48" s="8" t="s">
        <v>95</v>
      </c>
      <c r="C48" s="9" t="s">
        <v>5</v>
      </c>
      <c r="D48" s="10">
        <v>0.4</v>
      </c>
      <c r="E48" s="14">
        <v>7000000</v>
      </c>
      <c r="F48" s="14">
        <f t="shared" si="0"/>
        <v>2100000</v>
      </c>
      <c r="G48" s="14">
        <v>5000</v>
      </c>
      <c r="H48" s="14">
        <f t="shared" si="1"/>
        <v>1500</v>
      </c>
      <c r="I48" s="14">
        <f t="shared" si="4"/>
        <v>2800000</v>
      </c>
      <c r="J48" s="14">
        <f t="shared" si="2"/>
        <v>840000</v>
      </c>
      <c r="K48" s="11">
        <f t="shared" si="3"/>
        <v>2.1611452273484533E-2</v>
      </c>
    </row>
    <row r="49" spans="1:11" x14ac:dyDescent="0.3">
      <c r="A49" s="8" t="s">
        <v>131</v>
      </c>
      <c r="B49" s="8" t="s">
        <v>132</v>
      </c>
      <c r="C49" s="9" t="s">
        <v>5</v>
      </c>
      <c r="D49" s="10">
        <v>0.4</v>
      </c>
      <c r="E49" s="14">
        <v>5369822177.21</v>
      </c>
      <c r="F49" s="14">
        <f t="shared" si="0"/>
        <v>1610946653.1629999</v>
      </c>
      <c r="G49" s="14">
        <v>910743.53</v>
      </c>
      <c r="H49" s="14">
        <f t="shared" si="1"/>
        <v>273223.05900000001</v>
      </c>
      <c r="I49" s="14">
        <f t="shared" si="4"/>
        <v>2147928870.8840003</v>
      </c>
      <c r="J49" s="14">
        <f t="shared" si="2"/>
        <v>644378661.26520002</v>
      </c>
      <c r="K49" s="11">
        <f t="shared" si="3"/>
        <v>16.578522242838961</v>
      </c>
    </row>
    <row r="50" spans="1:11" x14ac:dyDescent="0.3">
      <c r="A50" s="8" t="s">
        <v>131</v>
      </c>
      <c r="B50" s="8" t="s">
        <v>131</v>
      </c>
      <c r="C50" s="9" t="s">
        <v>5</v>
      </c>
      <c r="D50" s="10">
        <v>0.4</v>
      </c>
      <c r="E50" s="14">
        <v>2075126220</v>
      </c>
      <c r="F50" s="14">
        <f t="shared" si="0"/>
        <v>622537866</v>
      </c>
      <c r="G50" s="14">
        <v>1545009.1</v>
      </c>
      <c r="H50" s="14">
        <f t="shared" si="1"/>
        <v>463502.73000000004</v>
      </c>
      <c r="I50" s="14">
        <f t="shared" si="4"/>
        <v>830050488</v>
      </c>
      <c r="J50" s="14">
        <f t="shared" si="2"/>
        <v>249015146.39999998</v>
      </c>
      <c r="K50" s="11">
        <f t="shared" si="3"/>
        <v>6.4066416092837661</v>
      </c>
    </row>
    <row r="51" spans="1:11" x14ac:dyDescent="0.3">
      <c r="A51" s="8" t="s">
        <v>131</v>
      </c>
      <c r="B51" s="8" t="s">
        <v>133</v>
      </c>
      <c r="C51" s="9" t="s">
        <v>5</v>
      </c>
      <c r="D51" s="10">
        <v>0.4</v>
      </c>
      <c r="E51" s="14">
        <v>706617250</v>
      </c>
      <c r="F51" s="14">
        <f t="shared" si="0"/>
        <v>211985175</v>
      </c>
      <c r="G51" s="14">
        <v>684016.3</v>
      </c>
      <c r="H51" s="14">
        <f t="shared" si="1"/>
        <v>205204.89</v>
      </c>
      <c r="I51" s="14">
        <f t="shared" si="4"/>
        <v>282646900</v>
      </c>
      <c r="J51" s="14">
        <f t="shared" si="2"/>
        <v>84794070</v>
      </c>
      <c r="K51" s="11">
        <f t="shared" si="3"/>
        <v>2.1815749962851267</v>
      </c>
    </row>
    <row r="52" spans="1:11" x14ac:dyDescent="0.3">
      <c r="A52" s="8" t="s">
        <v>131</v>
      </c>
      <c r="B52" s="8" t="s">
        <v>134</v>
      </c>
      <c r="C52" s="9" t="s">
        <v>5</v>
      </c>
      <c r="D52" s="10">
        <v>0.4</v>
      </c>
      <c r="E52" s="14">
        <v>534899380</v>
      </c>
      <c r="F52" s="14">
        <f t="shared" si="0"/>
        <v>160469814</v>
      </c>
      <c r="G52" s="14">
        <v>446315.49</v>
      </c>
      <c r="H52" s="14">
        <f t="shared" si="1"/>
        <v>133894.647</v>
      </c>
      <c r="I52" s="14">
        <f t="shared" si="4"/>
        <v>213959752</v>
      </c>
      <c r="J52" s="14">
        <f t="shared" si="2"/>
        <v>64187925.599999994</v>
      </c>
      <c r="K52" s="11">
        <f t="shared" si="3"/>
        <v>1.6514217745694952</v>
      </c>
    </row>
    <row r="53" spans="1:11" x14ac:dyDescent="0.3">
      <c r="A53" s="8" t="s">
        <v>131</v>
      </c>
      <c r="B53" s="8" t="s">
        <v>135</v>
      </c>
      <c r="C53" s="9" t="s">
        <v>5</v>
      </c>
      <c r="D53" s="10">
        <v>0.4</v>
      </c>
      <c r="E53" s="14">
        <v>430592840</v>
      </c>
      <c r="F53" s="14">
        <f t="shared" si="0"/>
        <v>129177852</v>
      </c>
      <c r="G53" s="14">
        <v>370630.91</v>
      </c>
      <c r="H53" s="14">
        <f t="shared" si="1"/>
        <v>111189.27299999999</v>
      </c>
      <c r="I53" s="14">
        <f t="shared" si="4"/>
        <v>172237136</v>
      </c>
      <c r="J53" s="14">
        <f t="shared" si="2"/>
        <v>51671140.799999997</v>
      </c>
      <c r="K53" s="11">
        <f t="shared" si="3"/>
        <v>1.3293909444234515</v>
      </c>
    </row>
    <row r="54" spans="1:11" x14ac:dyDescent="0.3">
      <c r="A54" s="8" t="s">
        <v>131</v>
      </c>
      <c r="B54" s="8" t="s">
        <v>136</v>
      </c>
      <c r="C54" s="9" t="s">
        <v>5</v>
      </c>
      <c r="D54" s="10">
        <v>0.4</v>
      </c>
      <c r="E54" s="14">
        <v>237074430</v>
      </c>
      <c r="F54" s="14">
        <f t="shared" si="0"/>
        <v>71122329</v>
      </c>
      <c r="G54" s="14">
        <v>166926.18599999999</v>
      </c>
      <c r="H54" s="14">
        <f t="shared" si="1"/>
        <v>50077.855799999998</v>
      </c>
      <c r="I54" s="14">
        <f t="shared" si="4"/>
        <v>94829772</v>
      </c>
      <c r="J54" s="14">
        <f t="shared" si="2"/>
        <v>28448931.599999998</v>
      </c>
      <c r="K54" s="11">
        <f t="shared" si="3"/>
        <v>0.73193181845836419</v>
      </c>
    </row>
    <row r="55" spans="1:11" x14ac:dyDescent="0.3">
      <c r="A55" s="8" t="s">
        <v>131</v>
      </c>
      <c r="B55" s="8" t="s">
        <v>137</v>
      </c>
      <c r="C55" s="9" t="s">
        <v>5</v>
      </c>
      <c r="D55" s="10">
        <v>0.4</v>
      </c>
      <c r="E55" s="14">
        <v>200352487</v>
      </c>
      <c r="F55" s="14">
        <f t="shared" si="0"/>
        <v>60105746.100000001</v>
      </c>
      <c r="G55" s="14">
        <v>133958.97</v>
      </c>
      <c r="H55" s="14">
        <f t="shared" si="1"/>
        <v>40187.690999999999</v>
      </c>
      <c r="I55" s="14">
        <f t="shared" si="4"/>
        <v>80140994.799999997</v>
      </c>
      <c r="J55" s="14">
        <f t="shared" si="2"/>
        <v>24042298.439999998</v>
      </c>
      <c r="K55" s="11">
        <f t="shared" si="3"/>
        <v>0.61855831581063281</v>
      </c>
    </row>
    <row r="56" spans="1:11" x14ac:dyDescent="0.3">
      <c r="A56" s="8" t="s">
        <v>131</v>
      </c>
      <c r="B56" s="8" t="s">
        <v>138</v>
      </c>
      <c r="C56" s="9" t="s">
        <v>5</v>
      </c>
      <c r="D56" s="10">
        <v>0.4</v>
      </c>
      <c r="E56" s="14">
        <v>186093960</v>
      </c>
      <c r="F56" s="14">
        <f t="shared" si="0"/>
        <v>55828188</v>
      </c>
      <c r="G56" s="14">
        <v>147001.66</v>
      </c>
      <c r="H56" s="14">
        <f t="shared" si="1"/>
        <v>44100.498</v>
      </c>
      <c r="I56" s="14">
        <f t="shared" si="4"/>
        <v>74437584</v>
      </c>
      <c r="J56" s="14">
        <f t="shared" si="2"/>
        <v>22331275.199999999</v>
      </c>
      <c r="K56" s="11">
        <f t="shared" si="3"/>
        <v>0.57453724784624849</v>
      </c>
    </row>
    <row r="57" spans="1:11" x14ac:dyDescent="0.3">
      <c r="A57" s="8" t="s">
        <v>131</v>
      </c>
      <c r="B57" s="8" t="s">
        <v>139</v>
      </c>
      <c r="C57" s="9" t="s">
        <v>5</v>
      </c>
      <c r="D57" s="10">
        <v>0.4</v>
      </c>
      <c r="E57" s="14">
        <v>153434580</v>
      </c>
      <c r="F57" s="14">
        <f t="shared" si="0"/>
        <v>46030374</v>
      </c>
      <c r="G57" s="14">
        <v>128103.82</v>
      </c>
      <c r="H57" s="14">
        <f t="shared" si="1"/>
        <v>38431.146000000001</v>
      </c>
      <c r="I57" s="14">
        <f t="shared" si="4"/>
        <v>61373832</v>
      </c>
      <c r="J57" s="14">
        <f t="shared" si="2"/>
        <v>18412149.599999998</v>
      </c>
      <c r="K57" s="11">
        <f t="shared" si="3"/>
        <v>0.47370630039602057</v>
      </c>
    </row>
    <row r="58" spans="1:11" x14ac:dyDescent="0.3">
      <c r="A58" s="8" t="s">
        <v>131</v>
      </c>
      <c r="B58" s="8" t="s">
        <v>140</v>
      </c>
      <c r="C58" s="9" t="s">
        <v>5</v>
      </c>
      <c r="D58" s="10">
        <v>0.4</v>
      </c>
      <c r="E58" s="14">
        <v>149654700</v>
      </c>
      <c r="F58" s="14">
        <f t="shared" si="0"/>
        <v>44896410</v>
      </c>
      <c r="G58" s="14">
        <v>93358.88</v>
      </c>
      <c r="H58" s="14">
        <f t="shared" si="1"/>
        <v>28007.664000000001</v>
      </c>
      <c r="I58" s="14">
        <f t="shared" si="4"/>
        <v>59861880</v>
      </c>
      <c r="J58" s="14">
        <f t="shared" si="2"/>
        <v>17958564</v>
      </c>
      <c r="K58" s="11">
        <f t="shared" si="3"/>
        <v>0.46203648665037794</v>
      </c>
    </row>
    <row r="59" spans="1:11" x14ac:dyDescent="0.3">
      <c r="A59" s="8" t="s">
        <v>131</v>
      </c>
      <c r="B59" s="8" t="s">
        <v>143</v>
      </c>
      <c r="C59" s="9" t="s">
        <v>5</v>
      </c>
      <c r="D59" s="10">
        <v>0.4</v>
      </c>
      <c r="E59" s="14">
        <v>28566250</v>
      </c>
      <c r="F59" s="14">
        <f t="shared" si="0"/>
        <v>8569875</v>
      </c>
      <c r="G59" s="14">
        <v>12796.38</v>
      </c>
      <c r="H59" s="14">
        <f t="shared" si="1"/>
        <v>3838.9139999999998</v>
      </c>
      <c r="I59" s="14">
        <f t="shared" si="4"/>
        <v>11426500</v>
      </c>
      <c r="J59" s="14">
        <f t="shared" si="2"/>
        <v>3427950</v>
      </c>
      <c r="K59" s="11">
        <f t="shared" si="3"/>
        <v>8.8194021215346793E-2</v>
      </c>
    </row>
    <row r="60" spans="1:11" x14ac:dyDescent="0.3">
      <c r="A60" s="8" t="s">
        <v>131</v>
      </c>
      <c r="B60" s="8" t="s">
        <v>144</v>
      </c>
      <c r="C60" s="9" t="s">
        <v>5</v>
      </c>
      <c r="D60" s="10">
        <v>0.4</v>
      </c>
      <c r="E60" s="14">
        <v>28359790</v>
      </c>
      <c r="F60" s="14">
        <f t="shared" si="0"/>
        <v>8507937</v>
      </c>
      <c r="G60" s="14">
        <v>22669.05</v>
      </c>
      <c r="H60" s="14">
        <f t="shared" si="1"/>
        <v>6800.7149999999992</v>
      </c>
      <c r="I60" s="14">
        <f t="shared" si="4"/>
        <v>11343916</v>
      </c>
      <c r="J60" s="14">
        <f t="shared" si="2"/>
        <v>3403174.8</v>
      </c>
      <c r="K60" s="11">
        <f t="shared" si="3"/>
        <v>8.7556606867291983E-2</v>
      </c>
    </row>
    <row r="61" spans="1:11" x14ac:dyDescent="0.3">
      <c r="A61" s="8" t="s">
        <v>131</v>
      </c>
      <c r="B61" s="8" t="s">
        <v>146</v>
      </c>
      <c r="C61" s="9" t="s">
        <v>5</v>
      </c>
      <c r="D61" s="10">
        <v>0.4</v>
      </c>
      <c r="E61" s="14">
        <v>19345020</v>
      </c>
      <c r="F61" s="14">
        <f t="shared" si="0"/>
        <v>5803506</v>
      </c>
      <c r="G61" s="14">
        <v>15288.75</v>
      </c>
      <c r="H61" s="14">
        <f t="shared" si="1"/>
        <v>4586.625</v>
      </c>
      <c r="I61" s="14">
        <f t="shared" si="4"/>
        <v>7738008</v>
      </c>
      <c r="J61" s="14">
        <f t="shared" si="2"/>
        <v>2321402.4</v>
      </c>
      <c r="K61" s="11">
        <f t="shared" si="3"/>
        <v>5.9724853779943389E-2</v>
      </c>
    </row>
    <row r="62" spans="1:11" x14ac:dyDescent="0.3">
      <c r="A62" s="8" t="s">
        <v>131</v>
      </c>
      <c r="B62" s="8" t="s">
        <v>147</v>
      </c>
      <c r="C62" s="9" t="s">
        <v>5</v>
      </c>
      <c r="D62" s="10">
        <v>0.4</v>
      </c>
      <c r="E62" s="14">
        <v>9551000</v>
      </c>
      <c r="F62" s="14">
        <f t="shared" si="0"/>
        <v>2865300</v>
      </c>
      <c r="G62" s="14">
        <v>18000</v>
      </c>
      <c r="H62" s="14">
        <f t="shared" si="1"/>
        <v>5400</v>
      </c>
      <c r="I62" s="14">
        <f t="shared" si="4"/>
        <v>3820400</v>
      </c>
      <c r="J62" s="14">
        <f t="shared" si="2"/>
        <v>1146120</v>
      </c>
      <c r="K62" s="11">
        <f t="shared" si="3"/>
        <v>2.9487282952007254E-2</v>
      </c>
    </row>
    <row r="63" spans="1:11" x14ac:dyDescent="0.3">
      <c r="A63" s="8" t="s">
        <v>131</v>
      </c>
      <c r="B63" s="8" t="s">
        <v>148</v>
      </c>
      <c r="C63" s="9" t="s">
        <v>5</v>
      </c>
      <c r="D63" s="10">
        <v>0.4</v>
      </c>
      <c r="E63" s="14">
        <v>3800000</v>
      </c>
      <c r="F63" s="14">
        <f t="shared" si="0"/>
        <v>1140000</v>
      </c>
      <c r="G63" s="14">
        <v>2850</v>
      </c>
      <c r="H63" s="14">
        <f t="shared" si="1"/>
        <v>855</v>
      </c>
      <c r="I63" s="14">
        <f t="shared" si="4"/>
        <v>1520000</v>
      </c>
      <c r="J63" s="14">
        <f t="shared" si="2"/>
        <v>456000</v>
      </c>
      <c r="K63" s="11">
        <f t="shared" si="3"/>
        <v>1.1731931234177317E-2</v>
      </c>
    </row>
    <row r="64" spans="1:11" x14ac:dyDescent="0.3">
      <c r="A64" s="8" t="s">
        <v>195</v>
      </c>
      <c r="B64" s="8" t="s">
        <v>196</v>
      </c>
      <c r="C64" s="9" t="s">
        <v>5</v>
      </c>
      <c r="D64" s="10">
        <v>0.4</v>
      </c>
      <c r="E64" s="14">
        <v>4256824429</v>
      </c>
      <c r="F64" s="14">
        <f t="shared" si="0"/>
        <v>1277047328.7</v>
      </c>
      <c r="G64" s="14">
        <v>1089628.25</v>
      </c>
      <c r="H64" s="14">
        <f t="shared" si="1"/>
        <v>326888.47499999998</v>
      </c>
      <c r="I64" s="14">
        <f t="shared" si="4"/>
        <v>1702729771.6000001</v>
      </c>
      <c r="J64" s="14">
        <f t="shared" si="2"/>
        <v>510818931.48000002</v>
      </c>
      <c r="K64" s="11">
        <f t="shared" si="3"/>
        <v>13.142308283419508</v>
      </c>
    </row>
    <row r="65" spans="1:11" x14ac:dyDescent="0.3">
      <c r="A65" s="8" t="s">
        <v>195</v>
      </c>
      <c r="B65" s="8" t="s">
        <v>198</v>
      </c>
      <c r="C65" s="9" t="s">
        <v>5</v>
      </c>
      <c r="D65" s="10">
        <v>0.4</v>
      </c>
      <c r="E65" s="14">
        <v>1858125388</v>
      </c>
      <c r="F65" s="14">
        <f t="shared" si="0"/>
        <v>557437616.39999998</v>
      </c>
      <c r="G65" s="14">
        <v>1108294.95</v>
      </c>
      <c r="H65" s="14">
        <f t="shared" si="1"/>
        <v>332488.48499999999</v>
      </c>
      <c r="I65" s="14">
        <f t="shared" si="4"/>
        <v>743250155.20000005</v>
      </c>
      <c r="J65" s="14">
        <f t="shared" si="2"/>
        <v>222975046.56</v>
      </c>
      <c r="K65" s="11">
        <f t="shared" si="3"/>
        <v>5.7366840201302756</v>
      </c>
    </row>
    <row r="66" spans="1:11" x14ac:dyDescent="0.3">
      <c r="A66" s="8" t="s">
        <v>195</v>
      </c>
      <c r="B66" s="8" t="s">
        <v>201</v>
      </c>
      <c r="C66" s="9" t="s">
        <v>5</v>
      </c>
      <c r="D66" s="10">
        <v>0.4</v>
      </c>
      <c r="E66" s="14">
        <v>594415000</v>
      </c>
      <c r="F66" s="14">
        <f t="shared" si="0"/>
        <v>178324500</v>
      </c>
      <c r="G66" s="14">
        <v>282305.5</v>
      </c>
      <c r="H66" s="14">
        <f t="shared" si="1"/>
        <v>84691.65</v>
      </c>
      <c r="I66" s="14">
        <f t="shared" si="4"/>
        <v>237766000</v>
      </c>
      <c r="J66" s="14">
        <f t="shared" si="2"/>
        <v>71329800</v>
      </c>
      <c r="K66" s="11">
        <f t="shared" si="3"/>
        <v>1.835167343306187</v>
      </c>
    </row>
    <row r="67" spans="1:11" x14ac:dyDescent="0.3">
      <c r="A67" s="8" t="s">
        <v>195</v>
      </c>
      <c r="B67" s="8" t="s">
        <v>202</v>
      </c>
      <c r="C67" s="9" t="s">
        <v>5</v>
      </c>
      <c r="D67" s="10">
        <v>0.4</v>
      </c>
      <c r="E67" s="14">
        <v>442440946</v>
      </c>
      <c r="F67" s="14">
        <f t="shared" si="0"/>
        <v>132732283.8</v>
      </c>
      <c r="G67" s="14">
        <v>464417.82</v>
      </c>
      <c r="H67" s="14">
        <f t="shared" si="1"/>
        <v>139325.34599999999</v>
      </c>
      <c r="I67" s="14">
        <f t="shared" si="4"/>
        <v>176976378.40000001</v>
      </c>
      <c r="J67" s="14">
        <f t="shared" si="2"/>
        <v>53092913.520000003</v>
      </c>
      <c r="K67" s="11">
        <f t="shared" si="3"/>
        <v>1.3659701983306212</v>
      </c>
    </row>
    <row r="68" spans="1:11" x14ac:dyDescent="0.3">
      <c r="A68" s="8" t="s">
        <v>195</v>
      </c>
      <c r="B68" s="8" t="s">
        <v>203</v>
      </c>
      <c r="C68" s="9" t="s">
        <v>5</v>
      </c>
      <c r="D68" s="10">
        <v>0.4</v>
      </c>
      <c r="E68" s="14">
        <v>324160220</v>
      </c>
      <c r="F68" s="14">
        <f t="shared" ref="F68:F131" si="5">E68*0.3</f>
        <v>97248066</v>
      </c>
      <c r="G68" s="14">
        <v>190945.48</v>
      </c>
      <c r="H68" s="14">
        <f t="shared" ref="H68:H131" si="6">G68*0.3</f>
        <v>57283.644</v>
      </c>
      <c r="I68" s="14">
        <f t="shared" si="4"/>
        <v>129664088</v>
      </c>
      <c r="J68" s="14">
        <f t="shared" ref="J68:J131" si="7">I68*0.3</f>
        <v>38899226.399999999</v>
      </c>
      <c r="K68" s="11">
        <f t="shared" ref="K68:K131" si="8">J68/$H$587</f>
        <v>1.0007961604988924</v>
      </c>
    </row>
    <row r="69" spans="1:11" x14ac:dyDescent="0.3">
      <c r="A69" s="8" t="s">
        <v>195</v>
      </c>
      <c r="B69" s="8" t="s">
        <v>206</v>
      </c>
      <c r="C69" s="9" t="s">
        <v>5</v>
      </c>
      <c r="D69" s="10">
        <v>0.4</v>
      </c>
      <c r="E69" s="14">
        <v>240829750.5</v>
      </c>
      <c r="F69" s="14">
        <f t="shared" si="5"/>
        <v>72248925.149999991</v>
      </c>
      <c r="G69" s="14">
        <v>139317.71</v>
      </c>
      <c r="H69" s="14">
        <f t="shared" si="6"/>
        <v>41795.312999999995</v>
      </c>
      <c r="I69" s="14">
        <f t="shared" si="4"/>
        <v>96331900.200000003</v>
      </c>
      <c r="J69" s="14">
        <f t="shared" si="7"/>
        <v>28899570.059999999</v>
      </c>
      <c r="K69" s="11">
        <f t="shared" si="8"/>
        <v>0.74352580842370541</v>
      </c>
    </row>
    <row r="70" spans="1:11" x14ac:dyDescent="0.3">
      <c r="A70" s="8" t="s">
        <v>195</v>
      </c>
      <c r="B70" s="8" t="s">
        <v>207</v>
      </c>
      <c r="C70" s="9" t="s">
        <v>5</v>
      </c>
      <c r="D70" s="10">
        <v>0.4</v>
      </c>
      <c r="E70" s="14">
        <v>186529000</v>
      </c>
      <c r="F70" s="14">
        <f t="shared" si="5"/>
        <v>55958700</v>
      </c>
      <c r="G70" s="14">
        <v>83624.34</v>
      </c>
      <c r="H70" s="14">
        <f t="shared" si="6"/>
        <v>25087.302</v>
      </c>
      <c r="I70" s="14">
        <f t="shared" ref="I70:I133" si="9">E70*D70</f>
        <v>74611600</v>
      </c>
      <c r="J70" s="14">
        <f t="shared" si="7"/>
        <v>22383480</v>
      </c>
      <c r="K70" s="11">
        <f t="shared" si="8"/>
        <v>0.57588036873154236</v>
      </c>
    </row>
    <row r="71" spans="1:11" x14ac:dyDescent="0.3">
      <c r="A71" s="8" t="s">
        <v>195</v>
      </c>
      <c r="B71" s="8" t="s">
        <v>208</v>
      </c>
      <c r="C71" s="9" t="s">
        <v>5</v>
      </c>
      <c r="D71" s="10">
        <v>0.4</v>
      </c>
      <c r="E71" s="14">
        <v>122886540</v>
      </c>
      <c r="F71" s="14">
        <f t="shared" si="5"/>
        <v>36865962</v>
      </c>
      <c r="G71" s="14">
        <v>62106.94</v>
      </c>
      <c r="H71" s="14">
        <f t="shared" si="6"/>
        <v>18632.081999999999</v>
      </c>
      <c r="I71" s="14">
        <f t="shared" si="9"/>
        <v>49154616</v>
      </c>
      <c r="J71" s="14">
        <f t="shared" si="7"/>
        <v>14746384.799999999</v>
      </c>
      <c r="K71" s="11">
        <f t="shared" si="8"/>
        <v>0.37939379918052113</v>
      </c>
    </row>
    <row r="72" spans="1:11" x14ac:dyDescent="0.3">
      <c r="A72" s="8" t="s">
        <v>195</v>
      </c>
      <c r="B72" s="8" t="s">
        <v>209</v>
      </c>
      <c r="C72" s="9" t="s">
        <v>5</v>
      </c>
      <c r="D72" s="10">
        <v>0.4</v>
      </c>
      <c r="E72" s="14">
        <v>122721340</v>
      </c>
      <c r="F72" s="14">
        <f t="shared" si="5"/>
        <v>36816402</v>
      </c>
      <c r="G72" s="14">
        <v>87848.42</v>
      </c>
      <c r="H72" s="14">
        <f t="shared" si="6"/>
        <v>26354.525999999998</v>
      </c>
      <c r="I72" s="14">
        <f t="shared" si="9"/>
        <v>49088536</v>
      </c>
      <c r="J72" s="14">
        <f t="shared" si="7"/>
        <v>14726560.799999999</v>
      </c>
      <c r="K72" s="11">
        <f t="shared" si="8"/>
        <v>0.37888376890686687</v>
      </c>
    </row>
    <row r="73" spans="1:11" x14ac:dyDescent="0.3">
      <c r="A73" s="8" t="s">
        <v>195</v>
      </c>
      <c r="B73" s="8" t="s">
        <v>210</v>
      </c>
      <c r="C73" s="9" t="s">
        <v>5</v>
      </c>
      <c r="D73" s="10">
        <v>0.4</v>
      </c>
      <c r="E73" s="14">
        <v>116509580</v>
      </c>
      <c r="F73" s="14">
        <f t="shared" si="5"/>
        <v>34952874</v>
      </c>
      <c r="G73" s="14">
        <v>46666.578000000001</v>
      </c>
      <c r="H73" s="14">
        <f t="shared" si="6"/>
        <v>13999.973400000001</v>
      </c>
      <c r="I73" s="14">
        <f t="shared" si="9"/>
        <v>46603832</v>
      </c>
      <c r="J73" s="14">
        <f t="shared" si="7"/>
        <v>13981149.6</v>
      </c>
      <c r="K73" s="11">
        <f t="shared" si="8"/>
        <v>0.35970588965338973</v>
      </c>
    </row>
    <row r="74" spans="1:11" x14ac:dyDescent="0.3">
      <c r="A74" s="8" t="s">
        <v>195</v>
      </c>
      <c r="B74" s="8" t="s">
        <v>212</v>
      </c>
      <c r="C74" s="9" t="s">
        <v>5</v>
      </c>
      <c r="D74" s="10">
        <v>0.4</v>
      </c>
      <c r="E74" s="14">
        <v>82854410</v>
      </c>
      <c r="F74" s="14">
        <f t="shared" si="5"/>
        <v>24856323</v>
      </c>
      <c r="G74" s="14">
        <v>50854.04</v>
      </c>
      <c r="H74" s="14">
        <f t="shared" si="6"/>
        <v>15256.212</v>
      </c>
      <c r="I74" s="14">
        <f t="shared" si="9"/>
        <v>33141764</v>
      </c>
      <c r="J74" s="14">
        <f t="shared" si="7"/>
        <v>9942529.1999999993</v>
      </c>
      <c r="K74" s="11">
        <f t="shared" si="8"/>
        <v>0.25580058962324564</v>
      </c>
    </row>
    <row r="75" spans="1:11" x14ac:dyDescent="0.3">
      <c r="A75" s="8" t="s">
        <v>195</v>
      </c>
      <c r="B75" s="8" t="s">
        <v>213</v>
      </c>
      <c r="C75" s="9" t="s">
        <v>5</v>
      </c>
      <c r="D75" s="10">
        <v>0.4</v>
      </c>
      <c r="E75" s="14">
        <v>50051056</v>
      </c>
      <c r="F75" s="14">
        <f t="shared" si="5"/>
        <v>15015316.799999999</v>
      </c>
      <c r="G75" s="14">
        <v>76215</v>
      </c>
      <c r="H75" s="14">
        <f t="shared" si="6"/>
        <v>22864.5</v>
      </c>
      <c r="I75" s="14">
        <f t="shared" si="9"/>
        <v>20020422.400000002</v>
      </c>
      <c r="J75" s="14">
        <f t="shared" si="7"/>
        <v>6006126.7200000007</v>
      </c>
      <c r="K75" s="11">
        <f t="shared" si="8"/>
        <v>0.15452514399735739</v>
      </c>
    </row>
    <row r="76" spans="1:11" x14ac:dyDescent="0.3">
      <c r="A76" s="8" t="s">
        <v>195</v>
      </c>
      <c r="B76" s="8" t="s">
        <v>215</v>
      </c>
      <c r="C76" s="9" t="s">
        <v>5</v>
      </c>
      <c r="D76" s="10">
        <v>0.4</v>
      </c>
      <c r="E76" s="14">
        <v>28150050</v>
      </c>
      <c r="F76" s="14">
        <f t="shared" si="5"/>
        <v>8445015</v>
      </c>
      <c r="G76" s="14">
        <v>58000</v>
      </c>
      <c r="H76" s="14">
        <f t="shared" si="6"/>
        <v>17400</v>
      </c>
      <c r="I76" s="14">
        <f t="shared" si="9"/>
        <v>11260020</v>
      </c>
      <c r="J76" s="14">
        <f t="shared" si="7"/>
        <v>3378006</v>
      </c>
      <c r="K76" s="11">
        <f t="shared" si="8"/>
        <v>8.6909066010171898E-2</v>
      </c>
    </row>
    <row r="77" spans="1:11" x14ac:dyDescent="0.3">
      <c r="A77" s="8" t="s">
        <v>195</v>
      </c>
      <c r="B77" s="8" t="s">
        <v>216</v>
      </c>
      <c r="C77" s="9" t="s">
        <v>5</v>
      </c>
      <c r="D77" s="10">
        <v>0.4</v>
      </c>
      <c r="E77" s="14">
        <v>26098500</v>
      </c>
      <c r="F77" s="14">
        <f t="shared" si="5"/>
        <v>7829550</v>
      </c>
      <c r="G77" s="14">
        <v>29575.65</v>
      </c>
      <c r="H77" s="14">
        <f t="shared" si="6"/>
        <v>8872.6949999999997</v>
      </c>
      <c r="I77" s="14">
        <f t="shared" si="9"/>
        <v>10439400</v>
      </c>
      <c r="J77" s="14">
        <f t="shared" si="7"/>
        <v>3131820</v>
      </c>
      <c r="K77" s="11">
        <f t="shared" si="8"/>
        <v>8.0575212451362302E-2</v>
      </c>
    </row>
    <row r="78" spans="1:11" x14ac:dyDescent="0.3">
      <c r="A78" s="8" t="s">
        <v>195</v>
      </c>
      <c r="B78" s="8" t="s">
        <v>217</v>
      </c>
      <c r="C78" s="9" t="s">
        <v>5</v>
      </c>
      <c r="D78" s="10">
        <v>0.4</v>
      </c>
      <c r="E78" s="14">
        <v>17950000</v>
      </c>
      <c r="F78" s="14">
        <f t="shared" si="5"/>
        <v>5385000</v>
      </c>
      <c r="G78" s="14">
        <v>26800</v>
      </c>
      <c r="H78" s="14">
        <f t="shared" si="6"/>
        <v>8040</v>
      </c>
      <c r="I78" s="14">
        <f t="shared" si="9"/>
        <v>7180000</v>
      </c>
      <c r="J78" s="14">
        <f t="shared" si="7"/>
        <v>2154000</v>
      </c>
      <c r="K78" s="11">
        <f t="shared" si="8"/>
        <v>5.5417938329863907E-2</v>
      </c>
    </row>
    <row r="79" spans="1:11" x14ac:dyDescent="0.3">
      <c r="A79" s="8" t="s">
        <v>195</v>
      </c>
      <c r="B79" s="8" t="s">
        <v>219</v>
      </c>
      <c r="C79" s="9" t="s">
        <v>5</v>
      </c>
      <c r="D79" s="10">
        <v>0.4</v>
      </c>
      <c r="E79" s="14">
        <v>15058000</v>
      </c>
      <c r="F79" s="14">
        <f t="shared" si="5"/>
        <v>4517400</v>
      </c>
      <c r="G79" s="14">
        <v>17722.5</v>
      </c>
      <c r="H79" s="14">
        <f t="shared" si="6"/>
        <v>5316.75</v>
      </c>
      <c r="I79" s="14">
        <f t="shared" si="9"/>
        <v>6023200</v>
      </c>
      <c r="J79" s="14">
        <f t="shared" si="7"/>
        <v>1806960</v>
      </c>
      <c r="K79" s="11">
        <f t="shared" si="8"/>
        <v>4.6489321190590016E-2</v>
      </c>
    </row>
    <row r="80" spans="1:11" x14ac:dyDescent="0.3">
      <c r="A80" s="8" t="s">
        <v>195</v>
      </c>
      <c r="B80" s="8" t="s">
        <v>220</v>
      </c>
      <c r="C80" s="9" t="s">
        <v>5</v>
      </c>
      <c r="D80" s="10">
        <v>0.4</v>
      </c>
      <c r="E80" s="14">
        <v>8474000</v>
      </c>
      <c r="F80" s="14">
        <f t="shared" si="5"/>
        <v>2542200</v>
      </c>
      <c r="G80" s="14">
        <v>8995</v>
      </c>
      <c r="H80" s="14">
        <f t="shared" si="6"/>
        <v>2698.5</v>
      </c>
      <c r="I80" s="14">
        <f t="shared" si="9"/>
        <v>3389600</v>
      </c>
      <c r="J80" s="14">
        <f t="shared" si="7"/>
        <v>1016880</v>
      </c>
      <c r="K80" s="11">
        <f t="shared" si="8"/>
        <v>2.6162206652215417E-2</v>
      </c>
    </row>
    <row r="81" spans="1:11" x14ac:dyDescent="0.3">
      <c r="A81" s="8" t="s">
        <v>195</v>
      </c>
      <c r="B81" s="8" t="s">
        <v>222</v>
      </c>
      <c r="C81" s="9" t="s">
        <v>5</v>
      </c>
      <c r="D81" s="10">
        <v>0.4</v>
      </c>
      <c r="E81" s="14">
        <v>6075000</v>
      </c>
      <c r="F81" s="14">
        <f t="shared" si="5"/>
        <v>1822500</v>
      </c>
      <c r="G81" s="14">
        <v>9390</v>
      </c>
      <c r="H81" s="14">
        <f t="shared" si="6"/>
        <v>2817</v>
      </c>
      <c r="I81" s="14">
        <f t="shared" si="9"/>
        <v>2430000</v>
      </c>
      <c r="J81" s="14">
        <f t="shared" si="7"/>
        <v>729000</v>
      </c>
      <c r="K81" s="11">
        <f t="shared" si="8"/>
        <v>1.875565322305979E-2</v>
      </c>
    </row>
    <row r="82" spans="1:11" x14ac:dyDescent="0.3">
      <c r="A82" s="8" t="s">
        <v>195</v>
      </c>
      <c r="B82" s="8" t="s">
        <v>223</v>
      </c>
      <c r="C82" s="9" t="s">
        <v>5</v>
      </c>
      <c r="D82" s="10">
        <v>0.4</v>
      </c>
      <c r="E82" s="14">
        <v>5570000</v>
      </c>
      <c r="F82" s="14">
        <f t="shared" si="5"/>
        <v>1671000</v>
      </c>
      <c r="G82" s="14">
        <v>2617.9</v>
      </c>
      <c r="H82" s="14">
        <f t="shared" si="6"/>
        <v>785.37</v>
      </c>
      <c r="I82" s="14">
        <f t="shared" si="9"/>
        <v>2228000</v>
      </c>
      <c r="J82" s="14">
        <f t="shared" si="7"/>
        <v>668400</v>
      </c>
      <c r="K82" s="11">
        <f t="shared" si="8"/>
        <v>1.7196541309044123E-2</v>
      </c>
    </row>
    <row r="83" spans="1:11" x14ac:dyDescent="0.3">
      <c r="A83" s="8" t="s">
        <v>262</v>
      </c>
      <c r="B83" s="8" t="s">
        <v>262</v>
      </c>
      <c r="C83" s="9" t="s">
        <v>5</v>
      </c>
      <c r="D83" s="10">
        <v>0.4</v>
      </c>
      <c r="E83" s="14">
        <v>120435030</v>
      </c>
      <c r="F83" s="14">
        <f t="shared" si="5"/>
        <v>36130509</v>
      </c>
      <c r="G83" s="14">
        <v>116820.13</v>
      </c>
      <c r="H83" s="14">
        <f t="shared" si="6"/>
        <v>35046.038999999997</v>
      </c>
      <c r="I83" s="14">
        <f t="shared" si="9"/>
        <v>48174012</v>
      </c>
      <c r="J83" s="14">
        <f t="shared" si="7"/>
        <v>14452203.6</v>
      </c>
      <c r="K83" s="11">
        <f t="shared" si="8"/>
        <v>0.3718251289858111</v>
      </c>
    </row>
    <row r="84" spans="1:11" x14ac:dyDescent="0.3">
      <c r="A84" s="8" t="s">
        <v>262</v>
      </c>
      <c r="B84" s="8" t="s">
        <v>70</v>
      </c>
      <c r="C84" s="9" t="s">
        <v>5</v>
      </c>
      <c r="D84" s="10">
        <v>0.4</v>
      </c>
      <c r="E84" s="14">
        <v>53900000</v>
      </c>
      <c r="F84" s="14">
        <f t="shared" si="5"/>
        <v>16170000</v>
      </c>
      <c r="G84" s="14">
        <v>26950</v>
      </c>
      <c r="H84" s="14">
        <f t="shared" si="6"/>
        <v>8085</v>
      </c>
      <c r="I84" s="14">
        <f t="shared" si="9"/>
        <v>21560000</v>
      </c>
      <c r="J84" s="14">
        <f t="shared" si="7"/>
        <v>6468000</v>
      </c>
      <c r="K84" s="11">
        <f t="shared" si="8"/>
        <v>0.16640818250583089</v>
      </c>
    </row>
    <row r="85" spans="1:11" x14ac:dyDescent="0.3">
      <c r="A85" s="8" t="s">
        <v>262</v>
      </c>
      <c r="B85" s="8" t="s">
        <v>265</v>
      </c>
      <c r="C85" s="9" t="s">
        <v>5</v>
      </c>
      <c r="D85" s="10">
        <v>0.4</v>
      </c>
      <c r="E85" s="14">
        <v>16937100</v>
      </c>
      <c r="F85" s="14">
        <f t="shared" si="5"/>
        <v>5081130</v>
      </c>
      <c r="G85" s="14">
        <v>16384.240000000002</v>
      </c>
      <c r="H85" s="14">
        <f t="shared" si="6"/>
        <v>4915.2719999999999</v>
      </c>
      <c r="I85" s="14">
        <f t="shared" si="9"/>
        <v>6774840</v>
      </c>
      <c r="J85" s="14">
        <f t="shared" si="7"/>
        <v>2032452</v>
      </c>
      <c r="K85" s="11">
        <f t="shared" si="8"/>
        <v>5.2290761185890697E-2</v>
      </c>
    </row>
    <row r="86" spans="1:11" x14ac:dyDescent="0.3">
      <c r="A86" s="8" t="s">
        <v>262</v>
      </c>
      <c r="B86" s="8" t="s">
        <v>267</v>
      </c>
      <c r="C86" s="9" t="s">
        <v>5</v>
      </c>
      <c r="D86" s="10">
        <v>0.4</v>
      </c>
      <c r="E86" s="14">
        <v>9000000</v>
      </c>
      <c r="F86" s="14">
        <f t="shared" si="5"/>
        <v>2700000</v>
      </c>
      <c r="G86" s="14">
        <v>7500</v>
      </c>
      <c r="H86" s="14">
        <f t="shared" si="6"/>
        <v>2250</v>
      </c>
      <c r="I86" s="14">
        <f t="shared" si="9"/>
        <v>3600000</v>
      </c>
      <c r="J86" s="14">
        <f t="shared" si="7"/>
        <v>1080000</v>
      </c>
      <c r="K86" s="11">
        <f t="shared" si="8"/>
        <v>2.7786152923051543E-2</v>
      </c>
    </row>
    <row r="87" spans="1:11" x14ac:dyDescent="0.3">
      <c r="A87" s="8" t="s">
        <v>262</v>
      </c>
      <c r="B87" s="8" t="s">
        <v>268</v>
      </c>
      <c r="C87" s="9" t="s">
        <v>5</v>
      </c>
      <c r="D87" s="10">
        <v>0.4</v>
      </c>
      <c r="E87" s="14">
        <v>8638860</v>
      </c>
      <c r="F87" s="14">
        <f t="shared" si="5"/>
        <v>2591658</v>
      </c>
      <c r="G87" s="14">
        <v>6554.15</v>
      </c>
      <c r="H87" s="14">
        <f t="shared" si="6"/>
        <v>1966.2449999999999</v>
      </c>
      <c r="I87" s="14">
        <f t="shared" si="9"/>
        <v>3455544</v>
      </c>
      <c r="J87" s="14">
        <f t="shared" si="7"/>
        <v>1036663.2</v>
      </c>
      <c r="K87" s="11">
        <f t="shared" si="8"/>
        <v>2.6671187226759225E-2</v>
      </c>
    </row>
    <row r="88" spans="1:11" x14ac:dyDescent="0.3">
      <c r="A88" s="8" t="s">
        <v>262</v>
      </c>
      <c r="B88" s="8" t="s">
        <v>269</v>
      </c>
      <c r="C88" s="9" t="s">
        <v>5</v>
      </c>
      <c r="D88" s="10">
        <v>0.4</v>
      </c>
      <c r="E88" s="14">
        <v>4000000</v>
      </c>
      <c r="F88" s="14">
        <f t="shared" si="5"/>
        <v>1200000</v>
      </c>
      <c r="G88" s="14">
        <v>7500</v>
      </c>
      <c r="H88" s="14">
        <f t="shared" si="6"/>
        <v>2250</v>
      </c>
      <c r="I88" s="14">
        <f t="shared" si="9"/>
        <v>1600000</v>
      </c>
      <c r="J88" s="14">
        <f t="shared" si="7"/>
        <v>480000</v>
      </c>
      <c r="K88" s="11">
        <f t="shared" si="8"/>
        <v>1.2349401299134019E-2</v>
      </c>
    </row>
    <row r="89" spans="1:11" x14ac:dyDescent="0.3">
      <c r="A89" s="8" t="s">
        <v>262</v>
      </c>
      <c r="B89" s="8" t="s">
        <v>270</v>
      </c>
      <c r="C89" s="9" t="s">
        <v>5</v>
      </c>
      <c r="D89" s="10">
        <v>0.4</v>
      </c>
      <c r="E89" s="14">
        <v>3299000</v>
      </c>
      <c r="F89" s="14">
        <f t="shared" si="5"/>
        <v>989700</v>
      </c>
      <c r="G89" s="14">
        <v>4000</v>
      </c>
      <c r="H89" s="14">
        <f t="shared" si="6"/>
        <v>1200</v>
      </c>
      <c r="I89" s="14">
        <f t="shared" si="9"/>
        <v>1319600</v>
      </c>
      <c r="J89" s="14">
        <f t="shared" si="7"/>
        <v>395880</v>
      </c>
      <c r="K89" s="11">
        <f t="shared" si="8"/>
        <v>1.0185168721460781E-2</v>
      </c>
    </row>
    <row r="90" spans="1:11" x14ac:dyDescent="0.3">
      <c r="A90" s="8" t="s">
        <v>262</v>
      </c>
      <c r="B90" s="8" t="s">
        <v>271</v>
      </c>
      <c r="C90" s="9" t="s">
        <v>5</v>
      </c>
      <c r="D90" s="10">
        <v>0.4</v>
      </c>
      <c r="E90" s="14">
        <v>2884200</v>
      </c>
      <c r="F90" s="14">
        <f t="shared" si="5"/>
        <v>865260</v>
      </c>
      <c r="G90" s="14">
        <v>2163.15</v>
      </c>
      <c r="H90" s="14">
        <f t="shared" si="6"/>
        <v>648.94500000000005</v>
      </c>
      <c r="I90" s="14">
        <f t="shared" si="9"/>
        <v>1153680</v>
      </c>
      <c r="J90" s="14">
        <f t="shared" si="7"/>
        <v>346104</v>
      </c>
      <c r="K90" s="11">
        <f t="shared" si="8"/>
        <v>8.9045358067405839E-3</v>
      </c>
    </row>
    <row r="91" spans="1:11" x14ac:dyDescent="0.3">
      <c r="A91" s="8" t="s">
        <v>262</v>
      </c>
      <c r="B91" s="8" t="s">
        <v>272</v>
      </c>
      <c r="C91" s="9" t="s">
        <v>5</v>
      </c>
      <c r="D91" s="10">
        <v>0.4</v>
      </c>
      <c r="E91" s="14">
        <v>2500000</v>
      </c>
      <c r="F91" s="14">
        <f t="shared" si="5"/>
        <v>750000</v>
      </c>
      <c r="G91" s="14">
        <v>2500</v>
      </c>
      <c r="H91" s="14">
        <f t="shared" si="6"/>
        <v>750</v>
      </c>
      <c r="I91" s="14">
        <f t="shared" si="9"/>
        <v>1000000</v>
      </c>
      <c r="J91" s="14">
        <f t="shared" si="7"/>
        <v>300000</v>
      </c>
      <c r="K91" s="11">
        <f t="shared" si="8"/>
        <v>7.7183758119587619E-3</v>
      </c>
    </row>
    <row r="92" spans="1:11" x14ac:dyDescent="0.3">
      <c r="A92" s="8" t="s">
        <v>262</v>
      </c>
      <c r="B92" s="8" t="s">
        <v>273</v>
      </c>
      <c r="C92" s="9" t="s">
        <v>5</v>
      </c>
      <c r="D92" s="10">
        <v>0.4</v>
      </c>
      <c r="E92" s="14">
        <v>2209000</v>
      </c>
      <c r="F92" s="14">
        <f t="shared" si="5"/>
        <v>662700</v>
      </c>
      <c r="G92" s="14">
        <v>1656.75</v>
      </c>
      <c r="H92" s="14">
        <f t="shared" si="6"/>
        <v>497.02499999999998</v>
      </c>
      <c r="I92" s="14">
        <f t="shared" si="9"/>
        <v>883600</v>
      </c>
      <c r="J92" s="14">
        <f t="shared" si="7"/>
        <v>265080</v>
      </c>
      <c r="K92" s="11">
        <f t="shared" si="8"/>
        <v>6.8199568674467623E-3</v>
      </c>
    </row>
    <row r="93" spans="1:11" x14ac:dyDescent="0.3">
      <c r="A93" s="8" t="s">
        <v>262</v>
      </c>
      <c r="B93" s="8" t="s">
        <v>274</v>
      </c>
      <c r="C93" s="9" t="s">
        <v>5</v>
      </c>
      <c r="D93" s="10">
        <v>0.4</v>
      </c>
      <c r="E93" s="14">
        <v>1499100</v>
      </c>
      <c r="F93" s="14">
        <f t="shared" si="5"/>
        <v>449730</v>
      </c>
      <c r="G93" s="14">
        <v>1873.88</v>
      </c>
      <c r="H93" s="14">
        <f t="shared" si="6"/>
        <v>562.16399999999999</v>
      </c>
      <c r="I93" s="14">
        <f t="shared" si="9"/>
        <v>599640</v>
      </c>
      <c r="J93" s="14">
        <f t="shared" si="7"/>
        <v>179892</v>
      </c>
      <c r="K93" s="11">
        <f t="shared" si="8"/>
        <v>4.628246871882952E-3</v>
      </c>
    </row>
    <row r="94" spans="1:11" x14ac:dyDescent="0.3">
      <c r="A94" s="8" t="s">
        <v>262</v>
      </c>
      <c r="B94" s="8" t="s">
        <v>275</v>
      </c>
      <c r="C94" s="9" t="s">
        <v>5</v>
      </c>
      <c r="D94" s="10">
        <v>0.4</v>
      </c>
      <c r="E94" s="14">
        <v>1128000</v>
      </c>
      <c r="F94" s="14">
        <f t="shared" si="5"/>
        <v>338400</v>
      </c>
      <c r="G94" s="14">
        <v>1500</v>
      </c>
      <c r="H94" s="14">
        <f t="shared" si="6"/>
        <v>450</v>
      </c>
      <c r="I94" s="14">
        <f t="shared" si="9"/>
        <v>451200</v>
      </c>
      <c r="J94" s="14">
        <f t="shared" si="7"/>
        <v>135360</v>
      </c>
      <c r="K94" s="11">
        <f t="shared" si="8"/>
        <v>3.4825311663557934E-3</v>
      </c>
    </row>
    <row r="95" spans="1:11" x14ac:dyDescent="0.3">
      <c r="A95" s="8" t="s">
        <v>262</v>
      </c>
      <c r="B95" s="8" t="s">
        <v>276</v>
      </c>
      <c r="C95" s="9" t="s">
        <v>5</v>
      </c>
      <c r="D95" s="10">
        <v>0.4</v>
      </c>
      <c r="E95" s="14">
        <v>1000000</v>
      </c>
      <c r="F95" s="14">
        <f t="shared" si="5"/>
        <v>300000</v>
      </c>
      <c r="G95" s="14">
        <v>2500</v>
      </c>
      <c r="H95" s="14">
        <f t="shared" si="6"/>
        <v>750</v>
      </c>
      <c r="I95" s="14">
        <f t="shared" si="9"/>
        <v>400000</v>
      </c>
      <c r="J95" s="14">
        <f t="shared" si="7"/>
        <v>120000</v>
      </c>
      <c r="K95" s="11">
        <f t="shared" si="8"/>
        <v>3.0873503247835048E-3</v>
      </c>
    </row>
    <row r="96" spans="1:11" x14ac:dyDescent="0.3">
      <c r="A96" s="8" t="s">
        <v>390</v>
      </c>
      <c r="B96" s="8" t="s">
        <v>401</v>
      </c>
      <c r="C96" s="9" t="s">
        <v>5</v>
      </c>
      <c r="D96" s="10">
        <v>0.4</v>
      </c>
      <c r="E96" s="14">
        <v>4104000</v>
      </c>
      <c r="F96" s="14">
        <f t="shared" si="5"/>
        <v>1231200</v>
      </c>
      <c r="G96" s="14">
        <v>5130</v>
      </c>
      <c r="H96" s="14">
        <f t="shared" si="6"/>
        <v>1539</v>
      </c>
      <c r="I96" s="14">
        <f t="shared" si="9"/>
        <v>1641600</v>
      </c>
      <c r="J96" s="14">
        <f t="shared" si="7"/>
        <v>492480</v>
      </c>
      <c r="K96" s="11">
        <f t="shared" si="8"/>
        <v>1.2670485732911503E-2</v>
      </c>
    </row>
    <row r="97" spans="1:11" x14ac:dyDescent="0.3">
      <c r="A97" s="8" t="s">
        <v>390</v>
      </c>
      <c r="B97" s="8" t="s">
        <v>405</v>
      </c>
      <c r="C97" s="9" t="s">
        <v>5</v>
      </c>
      <c r="D97" s="10">
        <v>0.4</v>
      </c>
      <c r="E97" s="14">
        <v>1216000</v>
      </c>
      <c r="F97" s="14">
        <f t="shared" si="5"/>
        <v>364800</v>
      </c>
      <c r="G97" s="14">
        <v>1500</v>
      </c>
      <c r="H97" s="14">
        <f t="shared" si="6"/>
        <v>450</v>
      </c>
      <c r="I97" s="14">
        <f t="shared" si="9"/>
        <v>486400</v>
      </c>
      <c r="J97" s="14">
        <f t="shared" si="7"/>
        <v>145920</v>
      </c>
      <c r="K97" s="11">
        <f t="shared" si="8"/>
        <v>3.7542179949367417E-3</v>
      </c>
    </row>
    <row r="98" spans="1:11" x14ac:dyDescent="0.3">
      <c r="A98" s="8" t="s">
        <v>532</v>
      </c>
      <c r="B98" s="8" t="s">
        <v>539</v>
      </c>
      <c r="C98" s="9" t="s">
        <v>5</v>
      </c>
      <c r="D98" s="10">
        <v>0.4</v>
      </c>
      <c r="E98" s="14">
        <v>70251000</v>
      </c>
      <c r="F98" s="14">
        <f t="shared" si="5"/>
        <v>21075300</v>
      </c>
      <c r="G98" s="14">
        <v>56497.75</v>
      </c>
      <c r="H98" s="14">
        <f t="shared" si="6"/>
        <v>16949.325000000001</v>
      </c>
      <c r="I98" s="14">
        <f t="shared" si="9"/>
        <v>28100400</v>
      </c>
      <c r="J98" s="14">
        <f t="shared" si="7"/>
        <v>8430120</v>
      </c>
      <c r="K98" s="11">
        <f t="shared" si="8"/>
        <v>0.216889447666366</v>
      </c>
    </row>
    <row r="99" spans="1:11" x14ac:dyDescent="0.3">
      <c r="A99" s="8" t="s">
        <v>532</v>
      </c>
      <c r="B99" s="8" t="s">
        <v>541</v>
      </c>
      <c r="C99" s="9" t="s">
        <v>5</v>
      </c>
      <c r="D99" s="10">
        <v>0.4</v>
      </c>
      <c r="E99" s="14">
        <v>63828000</v>
      </c>
      <c r="F99" s="14">
        <f t="shared" si="5"/>
        <v>19148400</v>
      </c>
      <c r="G99" s="14">
        <v>47211</v>
      </c>
      <c r="H99" s="14">
        <f t="shared" si="6"/>
        <v>14163.3</v>
      </c>
      <c r="I99" s="14">
        <f t="shared" si="9"/>
        <v>25531200</v>
      </c>
      <c r="J99" s="14">
        <f t="shared" si="7"/>
        <v>7659360</v>
      </c>
      <c r="K99" s="11">
        <f t="shared" si="8"/>
        <v>0.19705939653028154</v>
      </c>
    </row>
    <row r="100" spans="1:11" x14ac:dyDescent="0.3">
      <c r="A100" s="8" t="s">
        <v>532</v>
      </c>
      <c r="B100" s="8" t="s">
        <v>542</v>
      </c>
      <c r="C100" s="9" t="s">
        <v>5</v>
      </c>
      <c r="D100" s="10">
        <v>0.4</v>
      </c>
      <c r="E100" s="14">
        <v>62239280</v>
      </c>
      <c r="F100" s="14">
        <f t="shared" si="5"/>
        <v>18671784</v>
      </c>
      <c r="G100" s="14">
        <v>58813.21</v>
      </c>
      <c r="H100" s="14">
        <f t="shared" si="6"/>
        <v>17643.963</v>
      </c>
      <c r="I100" s="14">
        <f t="shared" si="9"/>
        <v>24895712</v>
      </c>
      <c r="J100" s="14">
        <f t="shared" si="7"/>
        <v>7468713.5999999996</v>
      </c>
      <c r="K100" s="11">
        <f t="shared" si="8"/>
        <v>0.19215446132229147</v>
      </c>
    </row>
    <row r="101" spans="1:11" x14ac:dyDescent="0.3">
      <c r="A101" s="8" t="s">
        <v>532</v>
      </c>
      <c r="B101" s="8" t="s">
        <v>544</v>
      </c>
      <c r="C101" s="9" t="s">
        <v>5</v>
      </c>
      <c r="D101" s="10">
        <v>0.4</v>
      </c>
      <c r="E101" s="14">
        <v>59395000</v>
      </c>
      <c r="F101" s="14">
        <f t="shared" si="5"/>
        <v>17818500</v>
      </c>
      <c r="G101" s="14">
        <v>42296.25</v>
      </c>
      <c r="H101" s="14">
        <f t="shared" si="6"/>
        <v>12688.875</v>
      </c>
      <c r="I101" s="14">
        <f t="shared" si="9"/>
        <v>23758000</v>
      </c>
      <c r="J101" s="14">
        <f t="shared" si="7"/>
        <v>7127400</v>
      </c>
      <c r="K101" s="11">
        <f t="shared" si="8"/>
        <v>0.18337317254051627</v>
      </c>
    </row>
    <row r="102" spans="1:11" x14ac:dyDescent="0.3">
      <c r="A102" s="8" t="s">
        <v>532</v>
      </c>
      <c r="B102" s="8" t="s">
        <v>545</v>
      </c>
      <c r="C102" s="9" t="s">
        <v>5</v>
      </c>
      <c r="D102" s="10">
        <v>0.4</v>
      </c>
      <c r="E102" s="14">
        <v>58966100</v>
      </c>
      <c r="F102" s="14">
        <f t="shared" si="5"/>
        <v>17689830</v>
      </c>
      <c r="G102" s="14">
        <v>45659.57</v>
      </c>
      <c r="H102" s="14">
        <f t="shared" si="6"/>
        <v>13697.870999999999</v>
      </c>
      <c r="I102" s="14">
        <f t="shared" si="9"/>
        <v>23586440</v>
      </c>
      <c r="J102" s="14">
        <f t="shared" si="7"/>
        <v>7075932</v>
      </c>
      <c r="K102" s="11">
        <f t="shared" si="8"/>
        <v>0.18204900798621662</v>
      </c>
    </row>
    <row r="103" spans="1:11" x14ac:dyDescent="0.3">
      <c r="A103" s="8" t="s">
        <v>532</v>
      </c>
      <c r="B103" s="8" t="s">
        <v>546</v>
      </c>
      <c r="C103" s="9" t="s">
        <v>5</v>
      </c>
      <c r="D103" s="10">
        <v>0.4</v>
      </c>
      <c r="E103" s="14">
        <v>58955560</v>
      </c>
      <c r="F103" s="14">
        <f t="shared" si="5"/>
        <v>17686668</v>
      </c>
      <c r="G103" s="14">
        <v>51228</v>
      </c>
      <c r="H103" s="14">
        <f t="shared" si="6"/>
        <v>15368.4</v>
      </c>
      <c r="I103" s="14">
        <f t="shared" si="9"/>
        <v>23582224</v>
      </c>
      <c r="J103" s="14">
        <f t="shared" si="7"/>
        <v>7074667.2000000002</v>
      </c>
      <c r="K103" s="11">
        <f t="shared" si="8"/>
        <v>0.1820164673137934</v>
      </c>
    </row>
    <row r="104" spans="1:11" x14ac:dyDescent="0.3">
      <c r="A104" s="8" t="s">
        <v>532</v>
      </c>
      <c r="B104" s="8" t="s">
        <v>551</v>
      </c>
      <c r="C104" s="9" t="s">
        <v>5</v>
      </c>
      <c r="D104" s="10">
        <v>0.4</v>
      </c>
      <c r="E104" s="14">
        <v>16109700</v>
      </c>
      <c r="F104" s="14">
        <f t="shared" si="5"/>
        <v>4832910</v>
      </c>
      <c r="G104" s="14">
        <v>13381</v>
      </c>
      <c r="H104" s="14">
        <f t="shared" si="6"/>
        <v>4014.2999999999997</v>
      </c>
      <c r="I104" s="14">
        <f t="shared" si="9"/>
        <v>6443880</v>
      </c>
      <c r="J104" s="14">
        <f t="shared" si="7"/>
        <v>1933164</v>
      </c>
      <c r="K104" s="11">
        <f t="shared" si="8"/>
        <v>4.9736287527164823E-2</v>
      </c>
    </row>
    <row r="105" spans="1:11" x14ac:dyDescent="0.3">
      <c r="A105" s="8" t="s">
        <v>79</v>
      </c>
      <c r="B105" s="8" t="s">
        <v>80</v>
      </c>
      <c r="C105" s="13" t="s">
        <v>6</v>
      </c>
      <c r="D105" s="10">
        <v>0.3</v>
      </c>
      <c r="E105" s="14">
        <v>778649693.04999995</v>
      </c>
      <c r="F105" s="14">
        <f t="shared" si="5"/>
        <v>233594907.91499999</v>
      </c>
      <c r="G105" s="14">
        <v>675659.83</v>
      </c>
      <c r="H105" s="14">
        <f t="shared" si="6"/>
        <v>202697.94899999999</v>
      </c>
      <c r="I105" s="14">
        <f t="shared" si="9"/>
        <v>233594907.91499999</v>
      </c>
      <c r="J105" s="14">
        <f t="shared" si="7"/>
        <v>70078472.374499992</v>
      </c>
      <c r="K105" s="11">
        <f t="shared" si="8"/>
        <v>1.8029732870478701</v>
      </c>
    </row>
    <row r="106" spans="1:11" x14ac:dyDescent="0.3">
      <c r="A106" s="8" t="s">
        <v>79</v>
      </c>
      <c r="B106" s="8" t="s">
        <v>82</v>
      </c>
      <c r="C106" s="13" t="s">
        <v>6</v>
      </c>
      <c r="D106" s="10">
        <v>0.3</v>
      </c>
      <c r="E106" s="14">
        <v>168043250</v>
      </c>
      <c r="F106" s="14">
        <f t="shared" si="5"/>
        <v>50412975</v>
      </c>
      <c r="G106" s="14">
        <v>67981.279999999999</v>
      </c>
      <c r="H106" s="14">
        <f t="shared" si="6"/>
        <v>20394.383999999998</v>
      </c>
      <c r="I106" s="14">
        <f t="shared" si="9"/>
        <v>50412975</v>
      </c>
      <c r="J106" s="14">
        <f t="shared" si="7"/>
        <v>15123892.5</v>
      </c>
      <c r="K106" s="11">
        <f t="shared" si="8"/>
        <v>0.38910628684888177</v>
      </c>
    </row>
    <row r="107" spans="1:11" x14ac:dyDescent="0.3">
      <c r="A107" s="8" t="s">
        <v>79</v>
      </c>
      <c r="B107" s="8" t="s">
        <v>83</v>
      </c>
      <c r="C107" s="13" t="s">
        <v>6</v>
      </c>
      <c r="D107" s="10">
        <v>0.3</v>
      </c>
      <c r="E107" s="14">
        <v>59000000</v>
      </c>
      <c r="F107" s="14">
        <f t="shared" si="5"/>
        <v>17700000</v>
      </c>
      <c r="G107" s="14">
        <v>21930</v>
      </c>
      <c r="H107" s="14">
        <f t="shared" si="6"/>
        <v>6579</v>
      </c>
      <c r="I107" s="14">
        <f t="shared" si="9"/>
        <v>17700000</v>
      </c>
      <c r="J107" s="14">
        <f t="shared" si="7"/>
        <v>5310000</v>
      </c>
      <c r="K107" s="11">
        <f t="shared" si="8"/>
        <v>0.13661525187167009</v>
      </c>
    </row>
    <row r="108" spans="1:11" x14ac:dyDescent="0.3">
      <c r="A108" s="8" t="s">
        <v>79</v>
      </c>
      <c r="B108" s="8" t="s">
        <v>85</v>
      </c>
      <c r="C108" s="13" t="s">
        <v>6</v>
      </c>
      <c r="D108" s="10">
        <v>0.3</v>
      </c>
      <c r="E108" s="14">
        <v>49726900</v>
      </c>
      <c r="F108" s="14">
        <f t="shared" si="5"/>
        <v>14918070</v>
      </c>
      <c r="G108" s="14">
        <v>44727.88</v>
      </c>
      <c r="H108" s="14">
        <f t="shared" si="6"/>
        <v>13418.364</v>
      </c>
      <c r="I108" s="14">
        <f t="shared" si="9"/>
        <v>14918070</v>
      </c>
      <c r="J108" s="14">
        <f t="shared" si="7"/>
        <v>4475421</v>
      </c>
      <c r="K108" s="11">
        <f t="shared" si="8"/>
        <v>0.11514327064910765</v>
      </c>
    </row>
    <row r="109" spans="1:11" x14ac:dyDescent="0.3">
      <c r="A109" s="8" t="s">
        <v>79</v>
      </c>
      <c r="B109" s="8" t="s">
        <v>88</v>
      </c>
      <c r="C109" s="13" t="s">
        <v>6</v>
      </c>
      <c r="D109" s="10">
        <v>0.3</v>
      </c>
      <c r="E109" s="14">
        <v>38381120</v>
      </c>
      <c r="F109" s="14">
        <f t="shared" si="5"/>
        <v>11514336</v>
      </c>
      <c r="G109" s="14">
        <v>26646.15</v>
      </c>
      <c r="H109" s="14">
        <f t="shared" si="6"/>
        <v>7993.8450000000003</v>
      </c>
      <c r="I109" s="14">
        <f t="shared" si="9"/>
        <v>11514336</v>
      </c>
      <c r="J109" s="14">
        <f t="shared" si="7"/>
        <v>3454300.8</v>
      </c>
      <c r="K109" s="11">
        <f t="shared" si="8"/>
        <v>8.8871972473166E-2</v>
      </c>
    </row>
    <row r="110" spans="1:11" x14ac:dyDescent="0.3">
      <c r="A110" s="8" t="s">
        <v>79</v>
      </c>
      <c r="B110" s="8" t="s">
        <v>92</v>
      </c>
      <c r="C110" s="13" t="s">
        <v>6</v>
      </c>
      <c r="D110" s="10">
        <v>0.3</v>
      </c>
      <c r="E110" s="14">
        <v>18000000</v>
      </c>
      <c r="F110" s="14">
        <f t="shared" si="5"/>
        <v>5400000</v>
      </c>
      <c r="G110" s="14">
        <v>17500</v>
      </c>
      <c r="H110" s="14">
        <f t="shared" si="6"/>
        <v>5250</v>
      </c>
      <c r="I110" s="14">
        <f t="shared" si="9"/>
        <v>5400000</v>
      </c>
      <c r="J110" s="14">
        <f t="shared" si="7"/>
        <v>1620000</v>
      </c>
      <c r="K110" s="11">
        <f t="shared" si="8"/>
        <v>4.1679229384577313E-2</v>
      </c>
    </row>
    <row r="111" spans="1:11" x14ac:dyDescent="0.3">
      <c r="A111" s="8" t="s">
        <v>79</v>
      </c>
      <c r="B111" s="8" t="s">
        <v>93</v>
      </c>
      <c r="C111" s="13" t="s">
        <v>6</v>
      </c>
      <c r="D111" s="10">
        <v>0.3</v>
      </c>
      <c r="E111" s="14">
        <v>16039550</v>
      </c>
      <c r="F111" s="14">
        <f t="shared" si="5"/>
        <v>4811865</v>
      </c>
      <c r="G111" s="14">
        <v>14662.69</v>
      </c>
      <c r="H111" s="14">
        <f t="shared" si="6"/>
        <v>4398.8069999999998</v>
      </c>
      <c r="I111" s="14">
        <f t="shared" si="9"/>
        <v>4811865</v>
      </c>
      <c r="J111" s="14">
        <f t="shared" si="7"/>
        <v>1443559.5</v>
      </c>
      <c r="K111" s="11">
        <f t="shared" si="8"/>
        <v>3.7139782426410944E-2</v>
      </c>
    </row>
    <row r="112" spans="1:11" x14ac:dyDescent="0.3">
      <c r="A112" s="8" t="s">
        <v>79</v>
      </c>
      <c r="B112" s="8" t="s">
        <v>97</v>
      </c>
      <c r="C112" s="13" t="s">
        <v>6</v>
      </c>
      <c r="D112" s="10">
        <v>0.3</v>
      </c>
      <c r="E112" s="14">
        <v>5000000</v>
      </c>
      <c r="F112" s="14">
        <f t="shared" si="5"/>
        <v>1500000</v>
      </c>
      <c r="G112" s="14">
        <v>2500</v>
      </c>
      <c r="H112" s="14">
        <f t="shared" si="6"/>
        <v>750</v>
      </c>
      <c r="I112" s="14">
        <f t="shared" si="9"/>
        <v>1500000</v>
      </c>
      <c r="J112" s="14">
        <f t="shared" si="7"/>
        <v>450000</v>
      </c>
      <c r="K112" s="11">
        <f t="shared" si="8"/>
        <v>1.1577563717938142E-2</v>
      </c>
    </row>
    <row r="113" spans="1:11" x14ac:dyDescent="0.3">
      <c r="A113" s="8" t="s">
        <v>79</v>
      </c>
      <c r="B113" s="8" t="s">
        <v>99</v>
      </c>
      <c r="C113" s="13" t="s">
        <v>6</v>
      </c>
      <c r="D113" s="10">
        <v>0.3</v>
      </c>
      <c r="E113" s="14">
        <v>1560000</v>
      </c>
      <c r="F113" s="14">
        <f t="shared" si="5"/>
        <v>468000</v>
      </c>
      <c r="G113" s="14">
        <v>1500</v>
      </c>
      <c r="H113" s="14">
        <f t="shared" si="6"/>
        <v>450</v>
      </c>
      <c r="I113" s="14">
        <f t="shared" si="9"/>
        <v>468000</v>
      </c>
      <c r="J113" s="14">
        <f t="shared" si="7"/>
        <v>140400</v>
      </c>
      <c r="K113" s="11">
        <f t="shared" si="8"/>
        <v>3.6121998799967005E-3</v>
      </c>
    </row>
    <row r="114" spans="1:11" x14ac:dyDescent="0.3">
      <c r="A114" s="8" t="s">
        <v>131</v>
      </c>
      <c r="B114" s="8" t="s">
        <v>141</v>
      </c>
      <c r="C114" s="13" t="s">
        <v>6</v>
      </c>
      <c r="D114" s="10">
        <v>0.3</v>
      </c>
      <c r="E114" s="14">
        <v>130876285</v>
      </c>
      <c r="F114" s="14">
        <f t="shared" si="5"/>
        <v>39262885.5</v>
      </c>
      <c r="G114" s="14">
        <v>91743.25</v>
      </c>
      <c r="H114" s="14">
        <f t="shared" si="6"/>
        <v>27522.974999999999</v>
      </c>
      <c r="I114" s="14">
        <f t="shared" si="9"/>
        <v>39262885.5</v>
      </c>
      <c r="J114" s="14">
        <f t="shared" si="7"/>
        <v>11778865.65</v>
      </c>
      <c r="K114" s="11">
        <f t="shared" si="8"/>
        <v>0.30304570575090639</v>
      </c>
    </row>
    <row r="115" spans="1:11" x14ac:dyDescent="0.3">
      <c r="A115" s="8" t="s">
        <v>131</v>
      </c>
      <c r="B115" s="8" t="s">
        <v>142</v>
      </c>
      <c r="C115" s="13" t="s">
        <v>6</v>
      </c>
      <c r="D115" s="10">
        <v>0.3</v>
      </c>
      <c r="E115" s="14">
        <v>99026550</v>
      </c>
      <c r="F115" s="14">
        <f t="shared" si="5"/>
        <v>29707965</v>
      </c>
      <c r="G115" s="14">
        <v>74431.490000000005</v>
      </c>
      <c r="H115" s="14">
        <f t="shared" si="6"/>
        <v>22329.447</v>
      </c>
      <c r="I115" s="14">
        <f t="shared" si="9"/>
        <v>29707965</v>
      </c>
      <c r="J115" s="14">
        <f t="shared" si="7"/>
        <v>8912389.5</v>
      </c>
      <c r="K115" s="11">
        <f t="shared" si="8"/>
        <v>0.22929723847851749</v>
      </c>
    </row>
    <row r="116" spans="1:11" x14ac:dyDescent="0.3">
      <c r="A116" s="8" t="s">
        <v>131</v>
      </c>
      <c r="B116" s="8" t="s">
        <v>145</v>
      </c>
      <c r="C116" s="13" t="s">
        <v>6</v>
      </c>
      <c r="D116" s="10">
        <v>0.3</v>
      </c>
      <c r="E116" s="14">
        <v>26656860</v>
      </c>
      <c r="F116" s="14">
        <f t="shared" si="5"/>
        <v>7997058</v>
      </c>
      <c r="G116" s="14">
        <v>24139</v>
      </c>
      <c r="H116" s="14">
        <f t="shared" si="6"/>
        <v>7241.7</v>
      </c>
      <c r="I116" s="14">
        <f t="shared" si="9"/>
        <v>7997058</v>
      </c>
      <c r="J116" s="14">
        <f t="shared" si="7"/>
        <v>2399117.4</v>
      </c>
      <c r="K116" s="11">
        <f t="shared" si="8"/>
        <v>6.1724299034031309E-2</v>
      </c>
    </row>
    <row r="117" spans="1:11" x14ac:dyDescent="0.3">
      <c r="A117" s="8" t="s">
        <v>195</v>
      </c>
      <c r="B117" s="8" t="s">
        <v>197</v>
      </c>
      <c r="C117" s="13" t="s">
        <v>6</v>
      </c>
      <c r="D117" s="10">
        <v>0.3</v>
      </c>
      <c r="E117" s="14">
        <v>3236164400</v>
      </c>
      <c r="F117" s="14">
        <f t="shared" si="5"/>
        <v>970849320</v>
      </c>
      <c r="G117" s="14">
        <v>552032.68000000005</v>
      </c>
      <c r="H117" s="14">
        <f t="shared" si="6"/>
        <v>165609.804</v>
      </c>
      <c r="I117" s="14">
        <f t="shared" si="9"/>
        <v>970849320</v>
      </c>
      <c r="J117" s="14">
        <f t="shared" si="7"/>
        <v>291254796</v>
      </c>
      <c r="K117" s="11">
        <f t="shared" si="8"/>
        <v>7.493379908544612</v>
      </c>
    </row>
    <row r="118" spans="1:11" x14ac:dyDescent="0.3">
      <c r="A118" s="8" t="s">
        <v>195</v>
      </c>
      <c r="B118" s="8" t="s">
        <v>199</v>
      </c>
      <c r="C118" s="13" t="s">
        <v>6</v>
      </c>
      <c r="D118" s="10">
        <v>0.3</v>
      </c>
      <c r="E118" s="14">
        <v>1586162000</v>
      </c>
      <c r="F118" s="14">
        <f t="shared" si="5"/>
        <v>475848600</v>
      </c>
      <c r="G118" s="14">
        <v>849722.64</v>
      </c>
      <c r="H118" s="14">
        <f t="shared" si="6"/>
        <v>254916.79199999999</v>
      </c>
      <c r="I118" s="14">
        <f t="shared" si="9"/>
        <v>475848600</v>
      </c>
      <c r="J118" s="14">
        <f t="shared" si="7"/>
        <v>142754580</v>
      </c>
      <c r="K118" s="11">
        <f t="shared" si="8"/>
        <v>3.6727783243944403</v>
      </c>
    </row>
    <row r="119" spans="1:11" x14ac:dyDescent="0.3">
      <c r="A119" s="8" t="s">
        <v>195</v>
      </c>
      <c r="B119" s="8" t="s">
        <v>200</v>
      </c>
      <c r="C119" s="13" t="s">
        <v>6</v>
      </c>
      <c r="D119" s="10">
        <v>0.3</v>
      </c>
      <c r="E119" s="14">
        <v>1509726650</v>
      </c>
      <c r="F119" s="14">
        <f t="shared" si="5"/>
        <v>452917995</v>
      </c>
      <c r="G119" s="14">
        <v>771494.69000000006</v>
      </c>
      <c r="H119" s="14">
        <f t="shared" si="6"/>
        <v>231448.40700000001</v>
      </c>
      <c r="I119" s="14">
        <f t="shared" si="9"/>
        <v>452917995</v>
      </c>
      <c r="J119" s="14">
        <f t="shared" si="7"/>
        <v>135875398.5</v>
      </c>
      <c r="K119" s="11">
        <f t="shared" si="8"/>
        <v>3.4957912974088594</v>
      </c>
    </row>
    <row r="120" spans="1:11" x14ac:dyDescent="0.3">
      <c r="A120" s="8" t="s">
        <v>195</v>
      </c>
      <c r="B120" s="8" t="s">
        <v>204</v>
      </c>
      <c r="C120" s="13" t="s">
        <v>6</v>
      </c>
      <c r="D120" s="10">
        <v>0.3</v>
      </c>
      <c r="E120" s="14">
        <v>291844930</v>
      </c>
      <c r="F120" s="14">
        <f t="shared" si="5"/>
        <v>87553479</v>
      </c>
      <c r="G120" s="14">
        <v>230618.4</v>
      </c>
      <c r="H120" s="14">
        <f t="shared" si="6"/>
        <v>69185.51999999999</v>
      </c>
      <c r="I120" s="14">
        <f t="shared" si="9"/>
        <v>87553479</v>
      </c>
      <c r="J120" s="14">
        <f t="shared" si="7"/>
        <v>26266043.699999999</v>
      </c>
      <c r="K120" s="11">
        <f t="shared" si="8"/>
        <v>0.67577065456643937</v>
      </c>
    </row>
    <row r="121" spans="1:11" x14ac:dyDescent="0.3">
      <c r="A121" s="8" t="s">
        <v>195</v>
      </c>
      <c r="B121" s="8" t="s">
        <v>205</v>
      </c>
      <c r="C121" s="13" t="s">
        <v>6</v>
      </c>
      <c r="D121" s="10">
        <v>0.3</v>
      </c>
      <c r="E121" s="14">
        <v>290187650</v>
      </c>
      <c r="F121" s="14">
        <f t="shared" si="5"/>
        <v>87056295</v>
      </c>
      <c r="G121" s="14">
        <v>188398.96</v>
      </c>
      <c r="H121" s="14">
        <f t="shared" si="6"/>
        <v>56519.687999999995</v>
      </c>
      <c r="I121" s="14">
        <f t="shared" si="9"/>
        <v>87056295</v>
      </c>
      <c r="J121" s="14">
        <f t="shared" si="7"/>
        <v>26116888.5</v>
      </c>
      <c r="K121" s="11">
        <f t="shared" si="8"/>
        <v>0.67193320160674652</v>
      </c>
    </row>
    <row r="122" spans="1:11" x14ac:dyDescent="0.3">
      <c r="A122" s="8" t="s">
        <v>195</v>
      </c>
      <c r="B122" s="8" t="s">
        <v>211</v>
      </c>
      <c r="C122" s="13" t="s">
        <v>6</v>
      </c>
      <c r="D122" s="10">
        <v>0.3</v>
      </c>
      <c r="E122" s="14">
        <v>88519350</v>
      </c>
      <c r="F122" s="14">
        <f t="shared" si="5"/>
        <v>26555805</v>
      </c>
      <c r="G122" s="14">
        <v>57867.040000000001</v>
      </c>
      <c r="H122" s="14">
        <f t="shared" si="6"/>
        <v>17360.112000000001</v>
      </c>
      <c r="I122" s="14">
        <f t="shared" si="9"/>
        <v>26555805</v>
      </c>
      <c r="J122" s="14">
        <f t="shared" si="7"/>
        <v>7966741.5</v>
      </c>
      <c r="K122" s="11">
        <f t="shared" si="8"/>
        <v>0.20496768297909354</v>
      </c>
    </row>
    <row r="123" spans="1:11" x14ac:dyDescent="0.3">
      <c r="A123" s="8" t="s">
        <v>195</v>
      </c>
      <c r="B123" s="8" t="s">
        <v>218</v>
      </c>
      <c r="C123" s="13" t="s">
        <v>6</v>
      </c>
      <c r="D123" s="10">
        <v>0.3</v>
      </c>
      <c r="E123" s="14">
        <v>16940000</v>
      </c>
      <c r="F123" s="14">
        <f t="shared" si="5"/>
        <v>5082000</v>
      </c>
      <c r="G123" s="14">
        <v>17957</v>
      </c>
      <c r="H123" s="14">
        <f t="shared" si="6"/>
        <v>5387.0999999999995</v>
      </c>
      <c r="I123" s="14">
        <f t="shared" si="9"/>
        <v>5082000</v>
      </c>
      <c r="J123" s="14">
        <f t="shared" si="7"/>
        <v>1524600</v>
      </c>
      <c r="K123" s="11">
        <f t="shared" si="8"/>
        <v>3.9224785876374429E-2</v>
      </c>
    </row>
    <row r="124" spans="1:11" x14ac:dyDescent="0.3">
      <c r="A124" s="8" t="s">
        <v>195</v>
      </c>
      <c r="B124" s="8" t="s">
        <v>221</v>
      </c>
      <c r="C124" s="13" t="s">
        <v>6</v>
      </c>
      <c r="D124" s="10">
        <v>0.3</v>
      </c>
      <c r="E124" s="14">
        <v>6839600</v>
      </c>
      <c r="F124" s="14">
        <f t="shared" si="5"/>
        <v>2051880</v>
      </c>
      <c r="G124" s="14">
        <v>6578.05</v>
      </c>
      <c r="H124" s="14">
        <f t="shared" si="6"/>
        <v>1973.415</v>
      </c>
      <c r="I124" s="14">
        <f t="shared" si="9"/>
        <v>2051880</v>
      </c>
      <c r="J124" s="14">
        <f t="shared" si="7"/>
        <v>615564</v>
      </c>
      <c r="K124" s="11">
        <f t="shared" si="8"/>
        <v>1.5837180961041943E-2</v>
      </c>
    </row>
    <row r="125" spans="1:11" x14ac:dyDescent="0.3">
      <c r="A125" s="8" t="s">
        <v>195</v>
      </c>
      <c r="B125" s="8" t="s">
        <v>224</v>
      </c>
      <c r="C125" s="13" t="s">
        <v>6</v>
      </c>
      <c r="D125" s="10">
        <v>0.3</v>
      </c>
      <c r="E125" s="14">
        <v>3506650</v>
      </c>
      <c r="F125" s="14">
        <f t="shared" si="5"/>
        <v>1051995</v>
      </c>
      <c r="G125" s="14">
        <v>6000</v>
      </c>
      <c r="H125" s="14">
        <f t="shared" si="6"/>
        <v>1800</v>
      </c>
      <c r="I125" s="14">
        <f t="shared" si="9"/>
        <v>1051995</v>
      </c>
      <c r="J125" s="14">
        <f t="shared" si="7"/>
        <v>315598.5</v>
      </c>
      <c r="K125" s="11">
        <f t="shared" si="8"/>
        <v>8.1196927623015582E-3</v>
      </c>
    </row>
    <row r="126" spans="1:11" x14ac:dyDescent="0.3">
      <c r="A126" s="8" t="s">
        <v>262</v>
      </c>
      <c r="B126" s="8" t="s">
        <v>263</v>
      </c>
      <c r="C126" s="13" t="s">
        <v>6</v>
      </c>
      <c r="D126" s="10">
        <v>0.3</v>
      </c>
      <c r="E126" s="14">
        <v>299455430</v>
      </c>
      <c r="F126" s="14">
        <f t="shared" si="5"/>
        <v>89836629</v>
      </c>
      <c r="G126" s="14">
        <v>223494.326</v>
      </c>
      <c r="H126" s="14">
        <f t="shared" si="6"/>
        <v>67048.2978</v>
      </c>
      <c r="I126" s="14">
        <f t="shared" si="9"/>
        <v>89836629</v>
      </c>
      <c r="J126" s="14">
        <f t="shared" si="7"/>
        <v>26950988.699999999</v>
      </c>
      <c r="K126" s="11">
        <f t="shared" si="8"/>
        <v>0.69339286430151303</v>
      </c>
    </row>
    <row r="127" spans="1:11" x14ac:dyDescent="0.3">
      <c r="A127" s="8" t="s">
        <v>262</v>
      </c>
      <c r="B127" s="8" t="s">
        <v>264</v>
      </c>
      <c r="C127" s="13" t="s">
        <v>6</v>
      </c>
      <c r="D127" s="10">
        <v>0.3</v>
      </c>
      <c r="E127" s="14">
        <v>55650000</v>
      </c>
      <c r="F127" s="14">
        <f t="shared" si="5"/>
        <v>16695000</v>
      </c>
      <c r="G127" s="14">
        <v>61968</v>
      </c>
      <c r="H127" s="14">
        <f t="shared" si="6"/>
        <v>18590.399999999998</v>
      </c>
      <c r="I127" s="14">
        <f t="shared" si="9"/>
        <v>16695000</v>
      </c>
      <c r="J127" s="14">
        <f t="shared" si="7"/>
        <v>5008500</v>
      </c>
      <c r="K127" s="11">
        <f t="shared" si="8"/>
        <v>0.12885828418065154</v>
      </c>
    </row>
    <row r="128" spans="1:11" x14ac:dyDescent="0.3">
      <c r="A128" s="8" t="s">
        <v>262</v>
      </c>
      <c r="B128" s="8" t="s">
        <v>266</v>
      </c>
      <c r="C128" s="13" t="s">
        <v>6</v>
      </c>
      <c r="D128" s="10">
        <v>0.3</v>
      </c>
      <c r="E128" s="14">
        <v>9557900</v>
      </c>
      <c r="F128" s="14">
        <f t="shared" si="5"/>
        <v>2867370</v>
      </c>
      <c r="G128" s="14">
        <v>11184.13</v>
      </c>
      <c r="H128" s="14">
        <f t="shared" si="6"/>
        <v>3355.2389999999996</v>
      </c>
      <c r="I128" s="14">
        <f t="shared" si="9"/>
        <v>2867370</v>
      </c>
      <c r="J128" s="14">
        <f t="shared" si="7"/>
        <v>860211</v>
      </c>
      <c r="K128" s="11">
        <f t="shared" si="8"/>
        <v>2.2131439251936193E-2</v>
      </c>
    </row>
    <row r="129" spans="1:11" x14ac:dyDescent="0.3">
      <c r="A129" s="8" t="s">
        <v>262</v>
      </c>
      <c r="B129" s="8" t="s">
        <v>277</v>
      </c>
      <c r="C129" s="13" t="s">
        <v>6</v>
      </c>
      <c r="D129" s="10">
        <v>0.3</v>
      </c>
      <c r="E129" s="14">
        <v>624000</v>
      </c>
      <c r="F129" s="14">
        <f t="shared" si="5"/>
        <v>187200</v>
      </c>
      <c r="G129" s="14">
        <v>1500</v>
      </c>
      <c r="H129" s="14">
        <f t="shared" si="6"/>
        <v>450</v>
      </c>
      <c r="I129" s="14">
        <f t="shared" si="9"/>
        <v>187200</v>
      </c>
      <c r="J129" s="14">
        <f t="shared" si="7"/>
        <v>56160</v>
      </c>
      <c r="K129" s="11">
        <f t="shared" si="8"/>
        <v>1.4448799519986802E-3</v>
      </c>
    </row>
    <row r="130" spans="1:11" x14ac:dyDescent="0.3">
      <c r="A130" s="8" t="s">
        <v>356</v>
      </c>
      <c r="B130" s="8" t="s">
        <v>360</v>
      </c>
      <c r="C130" s="13" t="s">
        <v>6</v>
      </c>
      <c r="D130" s="10">
        <v>0.3</v>
      </c>
      <c r="E130" s="14">
        <v>27988300</v>
      </c>
      <c r="F130" s="14">
        <f t="shared" si="5"/>
        <v>8396490</v>
      </c>
      <c r="G130" s="14">
        <v>18192.400000000001</v>
      </c>
      <c r="H130" s="14">
        <f t="shared" si="6"/>
        <v>5457.72</v>
      </c>
      <c r="I130" s="14">
        <f t="shared" si="9"/>
        <v>8396490</v>
      </c>
      <c r="J130" s="14">
        <f t="shared" si="7"/>
        <v>2518947</v>
      </c>
      <c r="K130" s="11">
        <f t="shared" si="8"/>
        <v>6.4807265321353627E-2</v>
      </c>
    </row>
    <row r="131" spans="1:11" x14ac:dyDescent="0.3">
      <c r="A131" s="8" t="s">
        <v>356</v>
      </c>
      <c r="B131" s="8" t="s">
        <v>44</v>
      </c>
      <c r="C131" s="13" t="s">
        <v>6</v>
      </c>
      <c r="D131" s="10">
        <v>0.3</v>
      </c>
      <c r="E131" s="14">
        <v>16309206.26</v>
      </c>
      <c r="F131" s="14">
        <f t="shared" si="5"/>
        <v>4892761.8779999996</v>
      </c>
      <c r="G131" s="14">
        <v>9885.49</v>
      </c>
      <c r="H131" s="14">
        <f t="shared" si="6"/>
        <v>2965.6469999999999</v>
      </c>
      <c r="I131" s="14">
        <f t="shared" si="9"/>
        <v>4892761.8779999996</v>
      </c>
      <c r="J131" s="14">
        <f t="shared" si="7"/>
        <v>1467828.5633999999</v>
      </c>
      <c r="K131" s="11">
        <f t="shared" si="8"/>
        <v>3.7764174932829124E-2</v>
      </c>
    </row>
    <row r="132" spans="1:11" x14ac:dyDescent="0.3">
      <c r="A132" s="8" t="s">
        <v>390</v>
      </c>
      <c r="B132" s="8" t="s">
        <v>400</v>
      </c>
      <c r="C132" s="13" t="s">
        <v>6</v>
      </c>
      <c r="D132" s="10">
        <v>0.3</v>
      </c>
      <c r="E132" s="14">
        <v>8502000</v>
      </c>
      <c r="F132" s="14">
        <f t="shared" ref="F132:F195" si="10">E132*0.3</f>
        <v>2550600</v>
      </c>
      <c r="G132" s="14">
        <v>5951.4</v>
      </c>
      <c r="H132" s="14">
        <f t="shared" ref="H132:H195" si="11">G132*0.3</f>
        <v>1785.4199999999998</v>
      </c>
      <c r="I132" s="14">
        <f t="shared" si="9"/>
        <v>2550600</v>
      </c>
      <c r="J132" s="14">
        <f t="shared" ref="J132:J195" si="12">I132*0.3</f>
        <v>765180</v>
      </c>
      <c r="K132" s="11">
        <f t="shared" ref="K132:K195" si="13">J132/$H$587</f>
        <v>1.9686489345982019E-2</v>
      </c>
    </row>
    <row r="133" spans="1:11" x14ac:dyDescent="0.3">
      <c r="A133" s="8" t="s">
        <v>390</v>
      </c>
      <c r="B133" s="8" t="s">
        <v>402</v>
      </c>
      <c r="C133" s="13" t="s">
        <v>6</v>
      </c>
      <c r="D133" s="10">
        <v>0.3</v>
      </c>
      <c r="E133" s="14">
        <v>4009590</v>
      </c>
      <c r="F133" s="14">
        <f t="shared" si="10"/>
        <v>1202877</v>
      </c>
      <c r="G133" s="14">
        <v>1500</v>
      </c>
      <c r="H133" s="14">
        <f t="shared" si="11"/>
        <v>450</v>
      </c>
      <c r="I133" s="14">
        <f t="shared" si="9"/>
        <v>1202877</v>
      </c>
      <c r="J133" s="14">
        <f t="shared" si="12"/>
        <v>360863.1</v>
      </c>
      <c r="K133" s="11">
        <f t="shared" si="13"/>
        <v>9.2842567415615182E-3</v>
      </c>
    </row>
    <row r="134" spans="1:11" x14ac:dyDescent="0.3">
      <c r="A134" s="8" t="s">
        <v>407</v>
      </c>
      <c r="B134" s="8" t="s">
        <v>408</v>
      </c>
      <c r="C134" s="13" t="s">
        <v>6</v>
      </c>
      <c r="D134" s="10">
        <v>0.3</v>
      </c>
      <c r="E134" s="14">
        <v>2147329718.2</v>
      </c>
      <c r="F134" s="14">
        <f t="shared" si="10"/>
        <v>644198915.46000004</v>
      </c>
      <c r="G134" s="14">
        <v>1084672.72</v>
      </c>
      <c r="H134" s="14">
        <f t="shared" si="11"/>
        <v>325401.81599999999</v>
      </c>
      <c r="I134" s="14">
        <f t="shared" ref="I134:I197" si="14">E134*D134</f>
        <v>644198915.46000004</v>
      </c>
      <c r="J134" s="14">
        <f t="shared" si="12"/>
        <v>193259674.63800001</v>
      </c>
      <c r="K134" s="11">
        <f t="shared" si="13"/>
        <v>4.9721693271765313</v>
      </c>
    </row>
    <row r="135" spans="1:11" x14ac:dyDescent="0.3">
      <c r="A135" s="8" t="s">
        <v>458</v>
      </c>
      <c r="B135" s="8" t="s">
        <v>460</v>
      </c>
      <c r="C135" s="13" t="s">
        <v>6</v>
      </c>
      <c r="D135" s="10">
        <v>0.3</v>
      </c>
      <c r="E135" s="14">
        <v>220528309.59999999</v>
      </c>
      <c r="F135" s="14">
        <f t="shared" si="10"/>
        <v>66158492.879999995</v>
      </c>
      <c r="G135" s="14">
        <v>35265.404999999999</v>
      </c>
      <c r="H135" s="14">
        <f t="shared" si="11"/>
        <v>10579.621499999999</v>
      </c>
      <c r="I135" s="14">
        <f t="shared" si="14"/>
        <v>66158492.879999995</v>
      </c>
      <c r="J135" s="14">
        <f t="shared" si="12"/>
        <v>19847547.863999996</v>
      </c>
      <c r="K135" s="11">
        <f t="shared" si="13"/>
        <v>0.5106361112006379</v>
      </c>
    </row>
    <row r="136" spans="1:11" x14ac:dyDescent="0.3">
      <c r="A136" s="8" t="s">
        <v>532</v>
      </c>
      <c r="B136" s="8" t="s">
        <v>533</v>
      </c>
      <c r="C136" s="13" t="s">
        <v>6</v>
      </c>
      <c r="D136" s="10">
        <v>0.3</v>
      </c>
      <c r="E136" s="14">
        <v>1192433440</v>
      </c>
      <c r="F136" s="14">
        <f t="shared" si="10"/>
        <v>357730032</v>
      </c>
      <c r="G136" s="14">
        <v>1019112.46</v>
      </c>
      <c r="H136" s="14">
        <f t="shared" si="11"/>
        <v>305733.73799999995</v>
      </c>
      <c r="I136" s="14">
        <f t="shared" si="14"/>
        <v>357730032</v>
      </c>
      <c r="J136" s="14">
        <f t="shared" si="12"/>
        <v>107319009.59999999</v>
      </c>
      <c r="K136" s="11">
        <f t="shared" si="13"/>
        <v>2.7610948262000337</v>
      </c>
    </row>
    <row r="137" spans="1:11" x14ac:dyDescent="0.3">
      <c r="A137" s="8" t="s">
        <v>532</v>
      </c>
      <c r="B137" s="8" t="s">
        <v>532</v>
      </c>
      <c r="C137" s="13" t="s">
        <v>6</v>
      </c>
      <c r="D137" s="10">
        <v>0.3</v>
      </c>
      <c r="E137" s="14">
        <v>1186250620</v>
      </c>
      <c r="F137" s="14">
        <f t="shared" si="10"/>
        <v>355875186</v>
      </c>
      <c r="G137" s="14">
        <v>850544.92</v>
      </c>
      <c r="H137" s="14">
        <f t="shared" si="11"/>
        <v>255163.476</v>
      </c>
      <c r="I137" s="14">
        <f t="shared" si="14"/>
        <v>355875186</v>
      </c>
      <c r="J137" s="14">
        <f t="shared" si="12"/>
        <v>106762555.8</v>
      </c>
      <c r="K137" s="11">
        <f t="shared" si="13"/>
        <v>2.7467784276987253</v>
      </c>
    </row>
    <row r="138" spans="1:11" x14ac:dyDescent="0.3">
      <c r="A138" s="8" t="s">
        <v>532</v>
      </c>
      <c r="B138" s="8" t="s">
        <v>534</v>
      </c>
      <c r="C138" s="13" t="s">
        <v>6</v>
      </c>
      <c r="D138" s="10">
        <v>0.3</v>
      </c>
      <c r="E138" s="14">
        <v>545206460</v>
      </c>
      <c r="F138" s="14">
        <f t="shared" si="10"/>
        <v>163561938</v>
      </c>
      <c r="G138" s="14">
        <v>397475.14</v>
      </c>
      <c r="H138" s="14">
        <f t="shared" si="11"/>
        <v>119242.542</v>
      </c>
      <c r="I138" s="14">
        <f t="shared" si="14"/>
        <v>163561938</v>
      </c>
      <c r="J138" s="14">
        <f t="shared" si="12"/>
        <v>49068581.399999999</v>
      </c>
      <c r="K138" s="11">
        <f t="shared" si="13"/>
        <v>1.2624325060162986</v>
      </c>
    </row>
    <row r="139" spans="1:11" x14ac:dyDescent="0.3">
      <c r="A139" s="8" t="s">
        <v>532</v>
      </c>
      <c r="B139" s="8" t="s">
        <v>535</v>
      </c>
      <c r="C139" s="13" t="s">
        <v>6</v>
      </c>
      <c r="D139" s="10">
        <v>0.3</v>
      </c>
      <c r="E139" s="14">
        <v>135777020</v>
      </c>
      <c r="F139" s="14">
        <f t="shared" si="10"/>
        <v>40733106</v>
      </c>
      <c r="G139" s="14">
        <v>117699.01</v>
      </c>
      <c r="H139" s="14">
        <f t="shared" si="11"/>
        <v>35309.702999999994</v>
      </c>
      <c r="I139" s="14">
        <f t="shared" si="14"/>
        <v>40733106</v>
      </c>
      <c r="J139" s="14">
        <f t="shared" si="12"/>
        <v>12219931.799999999</v>
      </c>
      <c r="K139" s="11">
        <f t="shared" si="13"/>
        <v>0.31439342009635229</v>
      </c>
    </row>
    <row r="140" spans="1:11" x14ac:dyDescent="0.3">
      <c r="A140" s="8" t="s">
        <v>532</v>
      </c>
      <c r="B140" s="8" t="s">
        <v>536</v>
      </c>
      <c r="C140" s="13" t="s">
        <v>6</v>
      </c>
      <c r="D140" s="10">
        <v>0.3</v>
      </c>
      <c r="E140" s="14">
        <v>122223380</v>
      </c>
      <c r="F140" s="14">
        <f t="shared" si="10"/>
        <v>36667014</v>
      </c>
      <c r="G140" s="14">
        <v>94845.2</v>
      </c>
      <c r="H140" s="14">
        <f t="shared" si="11"/>
        <v>28453.559999999998</v>
      </c>
      <c r="I140" s="14">
        <f t="shared" si="14"/>
        <v>36667014</v>
      </c>
      <c r="J140" s="14">
        <f t="shared" si="12"/>
        <v>11000104.199999999</v>
      </c>
      <c r="K140" s="11">
        <f t="shared" si="13"/>
        <v>0.28300979395435327</v>
      </c>
    </row>
    <row r="141" spans="1:11" x14ac:dyDescent="0.3">
      <c r="A141" s="8" t="s">
        <v>532</v>
      </c>
      <c r="B141" s="8" t="s">
        <v>537</v>
      </c>
      <c r="C141" s="13" t="s">
        <v>6</v>
      </c>
      <c r="D141" s="10">
        <v>0.3</v>
      </c>
      <c r="E141" s="14">
        <v>118554440</v>
      </c>
      <c r="F141" s="14">
        <f t="shared" si="10"/>
        <v>35566332</v>
      </c>
      <c r="G141" s="14">
        <v>95484.85</v>
      </c>
      <c r="H141" s="14">
        <f t="shared" si="11"/>
        <v>28645.455000000002</v>
      </c>
      <c r="I141" s="14">
        <f t="shared" si="14"/>
        <v>35566332</v>
      </c>
      <c r="J141" s="14">
        <f t="shared" si="12"/>
        <v>10669899.6</v>
      </c>
      <c r="K141" s="11">
        <f t="shared" si="13"/>
        <v>0.27451431662889486</v>
      </c>
    </row>
    <row r="142" spans="1:11" x14ac:dyDescent="0.3">
      <c r="A142" s="8" t="s">
        <v>532</v>
      </c>
      <c r="B142" s="8" t="s">
        <v>538</v>
      </c>
      <c r="C142" s="13" t="s">
        <v>6</v>
      </c>
      <c r="D142" s="10">
        <v>0.3</v>
      </c>
      <c r="E142" s="14">
        <v>84246730</v>
      </c>
      <c r="F142" s="14">
        <f t="shared" si="10"/>
        <v>25274019</v>
      </c>
      <c r="G142" s="14">
        <v>76328.75</v>
      </c>
      <c r="H142" s="14">
        <f t="shared" si="11"/>
        <v>22898.625</v>
      </c>
      <c r="I142" s="14">
        <f t="shared" si="14"/>
        <v>25274019</v>
      </c>
      <c r="J142" s="14">
        <f t="shared" si="12"/>
        <v>7582205.6999999993</v>
      </c>
      <c r="K142" s="11">
        <f t="shared" si="13"/>
        <v>0.19507437692058616</v>
      </c>
    </row>
    <row r="143" spans="1:11" x14ac:dyDescent="0.3">
      <c r="A143" s="8" t="s">
        <v>532</v>
      </c>
      <c r="B143" s="8" t="s">
        <v>540</v>
      </c>
      <c r="C143" s="13" t="s">
        <v>6</v>
      </c>
      <c r="D143" s="10">
        <v>0.3</v>
      </c>
      <c r="E143" s="14">
        <v>63967620</v>
      </c>
      <c r="F143" s="14">
        <f t="shared" si="10"/>
        <v>19190286</v>
      </c>
      <c r="G143" s="14">
        <v>46953.4</v>
      </c>
      <c r="H143" s="14">
        <f t="shared" si="11"/>
        <v>14086.02</v>
      </c>
      <c r="I143" s="14">
        <f t="shared" si="14"/>
        <v>19190286</v>
      </c>
      <c r="J143" s="14">
        <f t="shared" si="12"/>
        <v>5757085.7999999998</v>
      </c>
      <c r="K143" s="11">
        <f t="shared" si="13"/>
        <v>0.14811783928697086</v>
      </c>
    </row>
    <row r="144" spans="1:11" x14ac:dyDescent="0.3">
      <c r="A144" s="8" t="s">
        <v>532</v>
      </c>
      <c r="B144" s="8" t="s">
        <v>543</v>
      </c>
      <c r="C144" s="13" t="s">
        <v>6</v>
      </c>
      <c r="D144" s="10">
        <v>0.3</v>
      </c>
      <c r="E144" s="14">
        <v>60822990</v>
      </c>
      <c r="F144" s="14">
        <f t="shared" si="10"/>
        <v>18246897</v>
      </c>
      <c r="G144" s="14">
        <v>51945.88</v>
      </c>
      <c r="H144" s="14">
        <f t="shared" si="11"/>
        <v>15583.763999999999</v>
      </c>
      <c r="I144" s="14">
        <f t="shared" si="14"/>
        <v>18246897</v>
      </c>
      <c r="J144" s="14">
        <f t="shared" si="12"/>
        <v>5474069.0999999996</v>
      </c>
      <c r="K144" s="11">
        <f t="shared" si="13"/>
        <v>0.14083640844810288</v>
      </c>
    </row>
    <row r="145" spans="1:11" x14ac:dyDescent="0.3">
      <c r="A145" s="8" t="s">
        <v>532</v>
      </c>
      <c r="B145" s="8" t="s">
        <v>547</v>
      </c>
      <c r="C145" s="13" t="s">
        <v>6</v>
      </c>
      <c r="D145" s="10">
        <v>0.3</v>
      </c>
      <c r="E145" s="14">
        <v>52784440</v>
      </c>
      <c r="F145" s="14">
        <f t="shared" si="10"/>
        <v>15835332</v>
      </c>
      <c r="G145" s="14">
        <v>41266.85</v>
      </c>
      <c r="H145" s="14">
        <f t="shared" si="11"/>
        <v>12380.054999999998</v>
      </c>
      <c r="I145" s="14">
        <f t="shared" si="14"/>
        <v>15835332</v>
      </c>
      <c r="J145" s="14">
        <f t="shared" si="12"/>
        <v>4750599.5999999996</v>
      </c>
      <c r="K145" s="11">
        <f t="shared" si="13"/>
        <v>0.12222304348313655</v>
      </c>
    </row>
    <row r="146" spans="1:11" x14ac:dyDescent="0.3">
      <c r="A146" s="8" t="s">
        <v>532</v>
      </c>
      <c r="B146" s="8" t="s">
        <v>548</v>
      </c>
      <c r="C146" s="13" t="s">
        <v>6</v>
      </c>
      <c r="D146" s="10">
        <v>0.3</v>
      </c>
      <c r="E146" s="14">
        <v>41288000</v>
      </c>
      <c r="F146" s="14">
        <f t="shared" si="10"/>
        <v>12386400</v>
      </c>
      <c r="G146" s="14">
        <v>21818.05</v>
      </c>
      <c r="H146" s="14">
        <f t="shared" si="11"/>
        <v>6545.415</v>
      </c>
      <c r="I146" s="14">
        <f t="shared" si="14"/>
        <v>12386400</v>
      </c>
      <c r="J146" s="14">
        <f t="shared" si="12"/>
        <v>3715920</v>
      </c>
      <c r="K146" s="11">
        <f t="shared" si="13"/>
        <v>9.5602890157246004E-2</v>
      </c>
    </row>
    <row r="147" spans="1:11" x14ac:dyDescent="0.3">
      <c r="A147" s="8" t="s">
        <v>532</v>
      </c>
      <c r="B147" s="8" t="s">
        <v>549</v>
      </c>
      <c r="C147" s="13" t="s">
        <v>6</v>
      </c>
      <c r="D147" s="10">
        <v>0.3</v>
      </c>
      <c r="E147" s="14">
        <v>29918640</v>
      </c>
      <c r="F147" s="14">
        <f t="shared" si="10"/>
        <v>8975592</v>
      </c>
      <c r="G147" s="14">
        <v>20448.919999999998</v>
      </c>
      <c r="H147" s="14">
        <f t="shared" si="11"/>
        <v>6134.6759999999995</v>
      </c>
      <c r="I147" s="14">
        <f t="shared" si="14"/>
        <v>8975592</v>
      </c>
      <c r="J147" s="14">
        <f t="shared" si="12"/>
        <v>2692677.6</v>
      </c>
      <c r="K147" s="11">
        <f t="shared" si="13"/>
        <v>6.9276992190810571E-2</v>
      </c>
    </row>
    <row r="148" spans="1:11" x14ac:dyDescent="0.3">
      <c r="A148" s="8" t="s">
        <v>532</v>
      </c>
      <c r="B148" s="8" t="s">
        <v>550</v>
      </c>
      <c r="C148" s="13" t="s">
        <v>6</v>
      </c>
      <c r="D148" s="10">
        <v>0.3</v>
      </c>
      <c r="E148" s="14">
        <v>21244830</v>
      </c>
      <c r="F148" s="14">
        <f t="shared" si="10"/>
        <v>6373449</v>
      </c>
      <c r="G148" s="14">
        <v>26895.11</v>
      </c>
      <c r="H148" s="14">
        <f t="shared" si="11"/>
        <v>8068.5329999999994</v>
      </c>
      <c r="I148" s="14">
        <f t="shared" si="14"/>
        <v>6373449</v>
      </c>
      <c r="J148" s="14">
        <f t="shared" si="12"/>
        <v>1912034.7</v>
      </c>
      <c r="K148" s="11">
        <f t="shared" si="13"/>
        <v>4.9192674600352759E-2</v>
      </c>
    </row>
    <row r="149" spans="1:11" x14ac:dyDescent="0.3">
      <c r="A149" s="8" t="s">
        <v>555</v>
      </c>
      <c r="B149" s="8" t="s">
        <v>575</v>
      </c>
      <c r="C149" s="13" t="s">
        <v>6</v>
      </c>
      <c r="D149" s="10">
        <v>0.3</v>
      </c>
      <c r="E149" s="14">
        <v>84451270</v>
      </c>
      <c r="F149" s="14">
        <f t="shared" si="10"/>
        <v>25335381</v>
      </c>
      <c r="G149" s="14">
        <v>70318.2</v>
      </c>
      <c r="H149" s="14">
        <f t="shared" si="11"/>
        <v>21095.46</v>
      </c>
      <c r="I149" s="14">
        <f t="shared" si="14"/>
        <v>25335381</v>
      </c>
      <c r="J149" s="14">
        <f t="shared" si="12"/>
        <v>7600614.2999999998</v>
      </c>
      <c r="K149" s="11">
        <f t="shared" si="13"/>
        <v>0.19554799189715957</v>
      </c>
    </row>
    <row r="150" spans="1:11" x14ac:dyDescent="0.3">
      <c r="A150" s="8" t="s">
        <v>73</v>
      </c>
      <c r="B150" s="8" t="s">
        <v>73</v>
      </c>
      <c r="C150" s="12" t="s">
        <v>7</v>
      </c>
      <c r="D150" s="10">
        <v>0.25</v>
      </c>
      <c r="E150" s="14">
        <v>1425740060</v>
      </c>
      <c r="F150" s="14">
        <f t="shared" si="10"/>
        <v>427722018</v>
      </c>
      <c r="G150" s="14">
        <v>934776.31999999995</v>
      </c>
      <c r="H150" s="14">
        <f t="shared" si="11"/>
        <v>280432.89599999995</v>
      </c>
      <c r="I150" s="14">
        <f t="shared" si="14"/>
        <v>356435015</v>
      </c>
      <c r="J150" s="14">
        <f t="shared" si="12"/>
        <v>106930504.5</v>
      </c>
      <c r="K150" s="11">
        <f t="shared" si="13"/>
        <v>2.7510993983111582</v>
      </c>
    </row>
    <row r="151" spans="1:11" x14ac:dyDescent="0.3">
      <c r="A151" s="8" t="s">
        <v>73</v>
      </c>
      <c r="B151" s="8" t="s">
        <v>74</v>
      </c>
      <c r="C151" s="12" t="s">
        <v>7</v>
      </c>
      <c r="D151" s="10">
        <v>0.25</v>
      </c>
      <c r="E151" s="14">
        <v>1146415725</v>
      </c>
      <c r="F151" s="14">
        <f t="shared" si="10"/>
        <v>343924717.5</v>
      </c>
      <c r="G151" s="14">
        <v>968250.69</v>
      </c>
      <c r="H151" s="14">
        <f t="shared" si="11"/>
        <v>290475.20699999999</v>
      </c>
      <c r="I151" s="14">
        <f t="shared" si="14"/>
        <v>286603931.25</v>
      </c>
      <c r="J151" s="14">
        <f t="shared" si="12"/>
        <v>85981179.375</v>
      </c>
      <c r="K151" s="11">
        <f t="shared" si="13"/>
        <v>2.2121168505722921</v>
      </c>
    </row>
    <row r="152" spans="1:11" x14ac:dyDescent="0.3">
      <c r="A152" s="8" t="s">
        <v>73</v>
      </c>
      <c r="B152" s="8" t="s">
        <v>75</v>
      </c>
      <c r="C152" s="12" t="s">
        <v>7</v>
      </c>
      <c r="D152" s="10">
        <v>0.25</v>
      </c>
      <c r="E152" s="14">
        <v>401752130</v>
      </c>
      <c r="F152" s="14">
        <f t="shared" si="10"/>
        <v>120525639</v>
      </c>
      <c r="G152" s="14">
        <v>103944.02</v>
      </c>
      <c r="H152" s="14">
        <f t="shared" si="11"/>
        <v>31183.205999999998</v>
      </c>
      <c r="I152" s="14">
        <f t="shared" si="14"/>
        <v>100438032.5</v>
      </c>
      <c r="J152" s="14">
        <f t="shared" si="12"/>
        <v>30131409.75</v>
      </c>
      <c r="K152" s="11">
        <f t="shared" si="13"/>
        <v>0.775218480648728</v>
      </c>
    </row>
    <row r="153" spans="1:11" x14ac:dyDescent="0.3">
      <c r="A153" s="8" t="s">
        <v>73</v>
      </c>
      <c r="B153" s="8" t="s">
        <v>76</v>
      </c>
      <c r="C153" s="12" t="s">
        <v>7</v>
      </c>
      <c r="D153" s="10">
        <v>0.25</v>
      </c>
      <c r="E153" s="14">
        <v>16677690</v>
      </c>
      <c r="F153" s="14">
        <f t="shared" si="10"/>
        <v>5003307</v>
      </c>
      <c r="G153" s="14">
        <v>14000</v>
      </c>
      <c r="H153" s="14">
        <f t="shared" si="11"/>
        <v>4200</v>
      </c>
      <c r="I153" s="14">
        <f t="shared" si="14"/>
        <v>4169422.5</v>
      </c>
      <c r="J153" s="14">
        <f t="shared" si="12"/>
        <v>1250826.75</v>
      </c>
      <c r="K153" s="11">
        <f t="shared" si="13"/>
        <v>3.2181169773836629E-2</v>
      </c>
    </row>
    <row r="154" spans="1:11" x14ac:dyDescent="0.3">
      <c r="A154" s="8" t="s">
        <v>73</v>
      </c>
      <c r="B154" s="8" t="s">
        <v>77</v>
      </c>
      <c r="C154" s="12" t="s">
        <v>7</v>
      </c>
      <c r="D154" s="10">
        <v>0.25</v>
      </c>
      <c r="E154" s="14">
        <v>10800000</v>
      </c>
      <c r="F154" s="14">
        <f t="shared" si="10"/>
        <v>3240000</v>
      </c>
      <c r="G154" s="14">
        <v>15000</v>
      </c>
      <c r="H154" s="14">
        <f t="shared" si="11"/>
        <v>4500</v>
      </c>
      <c r="I154" s="14">
        <f t="shared" si="14"/>
        <v>2700000</v>
      </c>
      <c r="J154" s="14">
        <f t="shared" si="12"/>
        <v>810000</v>
      </c>
      <c r="K154" s="11">
        <f t="shared" si="13"/>
        <v>2.0839614692288656E-2</v>
      </c>
    </row>
    <row r="155" spans="1:11" x14ac:dyDescent="0.3">
      <c r="A155" s="8" t="s">
        <v>73</v>
      </c>
      <c r="B155" s="8" t="s">
        <v>78</v>
      </c>
      <c r="C155" s="12" t="s">
        <v>7</v>
      </c>
      <c r="D155" s="10">
        <v>0.25</v>
      </c>
      <c r="E155" s="14">
        <v>3000000</v>
      </c>
      <c r="F155" s="14">
        <f t="shared" si="10"/>
        <v>900000</v>
      </c>
      <c r="G155" s="14">
        <v>2500</v>
      </c>
      <c r="H155" s="14">
        <f t="shared" si="11"/>
        <v>750</v>
      </c>
      <c r="I155" s="14">
        <f t="shared" si="14"/>
        <v>750000</v>
      </c>
      <c r="J155" s="14">
        <f t="shared" si="12"/>
        <v>225000</v>
      </c>
      <c r="K155" s="11">
        <f t="shared" si="13"/>
        <v>5.788781858969071E-3</v>
      </c>
    </row>
    <row r="156" spans="1:11" x14ac:dyDescent="0.3">
      <c r="A156" s="8" t="s">
        <v>79</v>
      </c>
      <c r="B156" s="8" t="s">
        <v>84</v>
      </c>
      <c r="C156" s="12" t="s">
        <v>7</v>
      </c>
      <c r="D156" s="10">
        <v>0.25</v>
      </c>
      <c r="E156" s="14">
        <v>53884800</v>
      </c>
      <c r="F156" s="14">
        <f t="shared" si="10"/>
        <v>16165440</v>
      </c>
      <c r="G156" s="14">
        <v>25500</v>
      </c>
      <c r="H156" s="14">
        <f t="shared" si="11"/>
        <v>7650</v>
      </c>
      <c r="I156" s="14">
        <f t="shared" si="14"/>
        <v>13471200</v>
      </c>
      <c r="J156" s="14">
        <f t="shared" si="12"/>
        <v>4041360</v>
      </c>
      <c r="K156" s="11">
        <f t="shared" si="13"/>
        <v>0.10397578423805887</v>
      </c>
    </row>
    <row r="157" spans="1:11" x14ac:dyDescent="0.3">
      <c r="A157" s="8" t="s">
        <v>79</v>
      </c>
      <c r="B157" s="8" t="s">
        <v>86</v>
      </c>
      <c r="C157" s="12" t="s">
        <v>7</v>
      </c>
      <c r="D157" s="10">
        <v>0.25</v>
      </c>
      <c r="E157" s="14">
        <v>43920000</v>
      </c>
      <c r="F157" s="14">
        <f t="shared" si="10"/>
        <v>13176000</v>
      </c>
      <c r="G157" s="14">
        <v>16206.25</v>
      </c>
      <c r="H157" s="14">
        <f t="shared" si="11"/>
        <v>4861.875</v>
      </c>
      <c r="I157" s="14">
        <f t="shared" si="14"/>
        <v>10980000</v>
      </c>
      <c r="J157" s="14">
        <f t="shared" si="12"/>
        <v>3294000</v>
      </c>
      <c r="K157" s="11">
        <f t="shared" si="13"/>
        <v>8.4747766415307207E-2</v>
      </c>
    </row>
    <row r="158" spans="1:11" x14ac:dyDescent="0.3">
      <c r="A158" s="8" t="s">
        <v>79</v>
      </c>
      <c r="B158" s="8" t="s">
        <v>87</v>
      </c>
      <c r="C158" s="12" t="s">
        <v>7</v>
      </c>
      <c r="D158" s="10">
        <v>0.25</v>
      </c>
      <c r="E158" s="14">
        <v>40770000</v>
      </c>
      <c r="F158" s="14">
        <f t="shared" si="10"/>
        <v>12231000</v>
      </c>
      <c r="G158" s="14">
        <v>35644</v>
      </c>
      <c r="H158" s="14">
        <f t="shared" si="11"/>
        <v>10693.199999999999</v>
      </c>
      <c r="I158" s="14">
        <f t="shared" si="14"/>
        <v>10192500</v>
      </c>
      <c r="J158" s="14">
        <f t="shared" si="12"/>
        <v>3057750</v>
      </c>
      <c r="K158" s="11">
        <f t="shared" si="13"/>
        <v>7.8669545463389681E-2</v>
      </c>
    </row>
    <row r="159" spans="1:11" x14ac:dyDescent="0.3">
      <c r="A159" s="8" t="s">
        <v>79</v>
      </c>
      <c r="B159" s="8" t="s">
        <v>89</v>
      </c>
      <c r="C159" s="12" t="s">
        <v>7</v>
      </c>
      <c r="D159" s="10">
        <v>0.25</v>
      </c>
      <c r="E159" s="14">
        <v>21225000</v>
      </c>
      <c r="F159" s="14">
        <f t="shared" si="10"/>
        <v>6367500</v>
      </c>
      <c r="G159" s="14">
        <v>7428.75</v>
      </c>
      <c r="H159" s="14">
        <f t="shared" si="11"/>
        <v>2228.625</v>
      </c>
      <c r="I159" s="14">
        <f t="shared" si="14"/>
        <v>5306250</v>
      </c>
      <c r="J159" s="14">
        <f t="shared" si="12"/>
        <v>1591875</v>
      </c>
      <c r="K159" s="11">
        <f t="shared" si="13"/>
        <v>4.0955631652206177E-2</v>
      </c>
    </row>
    <row r="160" spans="1:11" x14ac:dyDescent="0.3">
      <c r="A160" s="8" t="s">
        <v>79</v>
      </c>
      <c r="B160" s="8" t="s">
        <v>90</v>
      </c>
      <c r="C160" s="12" t="s">
        <v>7</v>
      </c>
      <c r="D160" s="10">
        <v>0.25</v>
      </c>
      <c r="E160" s="14">
        <v>20620000</v>
      </c>
      <c r="F160" s="14">
        <f t="shared" si="10"/>
        <v>6186000</v>
      </c>
      <c r="G160" s="14">
        <v>17900</v>
      </c>
      <c r="H160" s="14">
        <f t="shared" si="11"/>
        <v>5370</v>
      </c>
      <c r="I160" s="14">
        <f t="shared" si="14"/>
        <v>5155000</v>
      </c>
      <c r="J160" s="14">
        <f t="shared" si="12"/>
        <v>1546500</v>
      </c>
      <c r="K160" s="11">
        <f t="shared" si="13"/>
        <v>3.978822731064742E-2</v>
      </c>
    </row>
    <row r="161" spans="1:11" x14ac:dyDescent="0.3">
      <c r="A161" s="8" t="s">
        <v>79</v>
      </c>
      <c r="B161" s="8" t="s">
        <v>91</v>
      </c>
      <c r="C161" s="12" t="s">
        <v>7</v>
      </c>
      <c r="D161" s="10">
        <v>0.25</v>
      </c>
      <c r="E161" s="14">
        <v>20265000</v>
      </c>
      <c r="F161" s="14">
        <f t="shared" si="10"/>
        <v>6079500</v>
      </c>
      <c r="G161" s="14">
        <v>13172.25</v>
      </c>
      <c r="H161" s="14">
        <f t="shared" si="11"/>
        <v>3951.6749999999997</v>
      </c>
      <c r="I161" s="14">
        <f t="shared" si="14"/>
        <v>5066250</v>
      </c>
      <c r="J161" s="14">
        <f t="shared" si="12"/>
        <v>1519875</v>
      </c>
      <c r="K161" s="11">
        <f t="shared" si="13"/>
        <v>3.9103221457336079E-2</v>
      </c>
    </row>
    <row r="162" spans="1:11" x14ac:dyDescent="0.3">
      <c r="A162" s="8" t="s">
        <v>79</v>
      </c>
      <c r="B162" s="8" t="s">
        <v>94</v>
      </c>
      <c r="C162" s="12" t="s">
        <v>7</v>
      </c>
      <c r="D162" s="10">
        <v>0.25</v>
      </c>
      <c r="E162" s="14">
        <v>8500000</v>
      </c>
      <c r="F162" s="14">
        <f t="shared" si="10"/>
        <v>2550000</v>
      </c>
      <c r="G162" s="14">
        <v>5000</v>
      </c>
      <c r="H162" s="14">
        <f t="shared" si="11"/>
        <v>1500</v>
      </c>
      <c r="I162" s="14">
        <f t="shared" si="14"/>
        <v>2125000</v>
      </c>
      <c r="J162" s="14">
        <f t="shared" si="12"/>
        <v>637500</v>
      </c>
      <c r="K162" s="11">
        <f t="shared" si="13"/>
        <v>1.6401548600412368E-2</v>
      </c>
    </row>
    <row r="163" spans="1:11" x14ac:dyDescent="0.3">
      <c r="A163" s="8" t="s">
        <v>79</v>
      </c>
      <c r="B163" s="8" t="s">
        <v>96</v>
      </c>
      <c r="C163" s="12" t="s">
        <v>7</v>
      </c>
      <c r="D163" s="10">
        <v>0.25</v>
      </c>
      <c r="E163" s="14">
        <v>5650000</v>
      </c>
      <c r="F163" s="14">
        <f t="shared" si="10"/>
        <v>1695000</v>
      </c>
      <c r="G163" s="14">
        <v>5522.5</v>
      </c>
      <c r="H163" s="14">
        <f t="shared" si="11"/>
        <v>1656.75</v>
      </c>
      <c r="I163" s="14">
        <f t="shared" si="14"/>
        <v>1412500</v>
      </c>
      <c r="J163" s="14">
        <f t="shared" si="12"/>
        <v>423750</v>
      </c>
      <c r="K163" s="11">
        <f t="shared" si="13"/>
        <v>1.0902205834391752E-2</v>
      </c>
    </row>
    <row r="164" spans="1:11" x14ac:dyDescent="0.3">
      <c r="A164" s="8" t="s">
        <v>79</v>
      </c>
      <c r="B164" s="8" t="s">
        <v>98</v>
      </c>
      <c r="C164" s="12" t="s">
        <v>7</v>
      </c>
      <c r="D164" s="10">
        <v>0.25</v>
      </c>
      <c r="E164" s="14">
        <v>2145000</v>
      </c>
      <c r="F164" s="14">
        <f t="shared" si="10"/>
        <v>643500</v>
      </c>
      <c r="G164" s="14">
        <v>1501.5</v>
      </c>
      <c r="H164" s="14">
        <f t="shared" si="11"/>
        <v>450.45</v>
      </c>
      <c r="I164" s="14">
        <f t="shared" si="14"/>
        <v>536250</v>
      </c>
      <c r="J164" s="14">
        <f t="shared" si="12"/>
        <v>160875</v>
      </c>
      <c r="K164" s="11">
        <f t="shared" si="13"/>
        <v>4.1389790291628857E-3</v>
      </c>
    </row>
    <row r="165" spans="1:11" x14ac:dyDescent="0.3">
      <c r="A165" s="8" t="s">
        <v>79</v>
      </c>
      <c r="B165" s="8" t="s">
        <v>100</v>
      </c>
      <c r="C165" s="12" t="s">
        <v>7</v>
      </c>
      <c r="D165" s="10">
        <v>0.25</v>
      </c>
      <c r="E165" s="14">
        <v>1000000</v>
      </c>
      <c r="F165" s="14">
        <f t="shared" si="10"/>
        <v>300000</v>
      </c>
      <c r="G165" s="14">
        <v>2500</v>
      </c>
      <c r="H165" s="14">
        <f t="shared" si="11"/>
        <v>750</v>
      </c>
      <c r="I165" s="14">
        <f t="shared" si="14"/>
        <v>250000</v>
      </c>
      <c r="J165" s="14">
        <f t="shared" si="12"/>
        <v>75000</v>
      </c>
      <c r="K165" s="11">
        <f t="shared" si="13"/>
        <v>1.9295939529896905E-3</v>
      </c>
    </row>
    <row r="166" spans="1:11" x14ac:dyDescent="0.3">
      <c r="A166" s="8" t="s">
        <v>149</v>
      </c>
      <c r="B166" s="8" t="s">
        <v>150</v>
      </c>
      <c r="C166" s="12" t="s">
        <v>7</v>
      </c>
      <c r="D166" s="10">
        <v>0.25</v>
      </c>
      <c r="E166" s="14">
        <v>164350000</v>
      </c>
      <c r="F166" s="14">
        <f t="shared" si="10"/>
        <v>49305000</v>
      </c>
      <c r="G166" s="14">
        <v>39351</v>
      </c>
      <c r="H166" s="14">
        <f t="shared" si="11"/>
        <v>11805.3</v>
      </c>
      <c r="I166" s="14">
        <f t="shared" si="14"/>
        <v>41087500</v>
      </c>
      <c r="J166" s="14">
        <f t="shared" si="12"/>
        <v>12326250</v>
      </c>
      <c r="K166" s="11">
        <f t="shared" si="13"/>
        <v>0.3171287661738556</v>
      </c>
    </row>
    <row r="167" spans="1:11" x14ac:dyDescent="0.3">
      <c r="A167" s="8" t="s">
        <v>149</v>
      </c>
      <c r="B167" s="8" t="s">
        <v>151</v>
      </c>
      <c r="C167" s="12" t="s">
        <v>7</v>
      </c>
      <c r="D167" s="10">
        <v>0.25</v>
      </c>
      <c r="E167" s="14">
        <v>87260090</v>
      </c>
      <c r="F167" s="14">
        <f t="shared" si="10"/>
        <v>26178027</v>
      </c>
      <c r="G167" s="14">
        <v>58252.959999999999</v>
      </c>
      <c r="H167" s="14">
        <f t="shared" si="11"/>
        <v>17475.887999999999</v>
      </c>
      <c r="I167" s="14">
        <f t="shared" si="14"/>
        <v>21815022.5</v>
      </c>
      <c r="J167" s="14">
        <f t="shared" si="12"/>
        <v>6544506.75</v>
      </c>
      <c r="K167" s="11">
        <f t="shared" si="13"/>
        <v>0.16837654200133617</v>
      </c>
    </row>
    <row r="168" spans="1:11" x14ac:dyDescent="0.3">
      <c r="A168" s="8" t="s">
        <v>149</v>
      </c>
      <c r="B168" s="8" t="s">
        <v>152</v>
      </c>
      <c r="C168" s="12" t="s">
        <v>7</v>
      </c>
      <c r="D168" s="10">
        <v>0.25</v>
      </c>
      <c r="E168" s="14">
        <v>80927630</v>
      </c>
      <c r="F168" s="14">
        <f t="shared" si="10"/>
        <v>24278289</v>
      </c>
      <c r="G168" s="14">
        <v>50607.5</v>
      </c>
      <c r="H168" s="14">
        <f t="shared" si="11"/>
        <v>15182.25</v>
      </c>
      <c r="I168" s="14">
        <f t="shared" si="14"/>
        <v>20231907.5</v>
      </c>
      <c r="J168" s="14">
        <f t="shared" si="12"/>
        <v>6069572.25</v>
      </c>
      <c r="K168" s="11">
        <f t="shared" si="13"/>
        <v>0.15615746547778706</v>
      </c>
    </row>
    <row r="169" spans="1:11" x14ac:dyDescent="0.3">
      <c r="A169" s="8" t="s">
        <v>149</v>
      </c>
      <c r="B169" s="8" t="s">
        <v>153</v>
      </c>
      <c r="C169" s="12" t="s">
        <v>7</v>
      </c>
      <c r="D169" s="10">
        <v>0.25</v>
      </c>
      <c r="E169" s="14">
        <v>42329090</v>
      </c>
      <c r="F169" s="14">
        <f t="shared" si="10"/>
        <v>12698727</v>
      </c>
      <c r="G169" s="14">
        <v>41890.160000000003</v>
      </c>
      <c r="H169" s="14">
        <f t="shared" si="11"/>
        <v>12567.048000000001</v>
      </c>
      <c r="I169" s="14">
        <f t="shared" si="14"/>
        <v>10582272.5</v>
      </c>
      <c r="J169" s="14">
        <f t="shared" si="12"/>
        <v>3174681.75</v>
      </c>
      <c r="K169" s="11">
        <f t="shared" si="13"/>
        <v>8.1677956099556373E-2</v>
      </c>
    </row>
    <row r="170" spans="1:11" x14ac:dyDescent="0.3">
      <c r="A170" s="8" t="s">
        <v>149</v>
      </c>
      <c r="B170" s="8" t="s">
        <v>154</v>
      </c>
      <c r="C170" s="12" t="s">
        <v>7</v>
      </c>
      <c r="D170" s="10">
        <v>0.25</v>
      </c>
      <c r="E170" s="14">
        <v>42285000</v>
      </c>
      <c r="F170" s="14">
        <f t="shared" si="10"/>
        <v>12685500</v>
      </c>
      <c r="G170" s="14">
        <v>30306.25</v>
      </c>
      <c r="H170" s="14">
        <f t="shared" si="11"/>
        <v>9091.875</v>
      </c>
      <c r="I170" s="14">
        <f t="shared" si="14"/>
        <v>10571250</v>
      </c>
      <c r="J170" s="14">
        <f t="shared" si="12"/>
        <v>3171375</v>
      </c>
      <c r="K170" s="11">
        <f t="shared" si="13"/>
        <v>8.159288030216906E-2</v>
      </c>
    </row>
    <row r="171" spans="1:11" x14ac:dyDescent="0.3">
      <c r="A171" s="8" t="s">
        <v>149</v>
      </c>
      <c r="B171" s="8" t="s">
        <v>155</v>
      </c>
      <c r="C171" s="12" t="s">
        <v>7</v>
      </c>
      <c r="D171" s="10">
        <v>0.25</v>
      </c>
      <c r="E171" s="14">
        <v>40950000</v>
      </c>
      <c r="F171" s="14">
        <f t="shared" si="10"/>
        <v>12285000</v>
      </c>
      <c r="G171" s="14">
        <v>16402.5</v>
      </c>
      <c r="H171" s="14">
        <f t="shared" si="11"/>
        <v>4920.75</v>
      </c>
      <c r="I171" s="14">
        <f t="shared" si="14"/>
        <v>10237500</v>
      </c>
      <c r="J171" s="14">
        <f t="shared" si="12"/>
        <v>3071250</v>
      </c>
      <c r="K171" s="11">
        <f t="shared" si="13"/>
        <v>7.9016872374927827E-2</v>
      </c>
    </row>
    <row r="172" spans="1:11" x14ac:dyDescent="0.3">
      <c r="A172" s="8" t="s">
        <v>149</v>
      </c>
      <c r="B172" s="8" t="s">
        <v>156</v>
      </c>
      <c r="C172" s="12" t="s">
        <v>7</v>
      </c>
      <c r="D172" s="10">
        <v>0.25</v>
      </c>
      <c r="E172" s="14">
        <v>39245000</v>
      </c>
      <c r="F172" s="14">
        <f t="shared" si="10"/>
        <v>11773500</v>
      </c>
      <c r="G172" s="14">
        <v>15166.75</v>
      </c>
      <c r="H172" s="14">
        <f t="shared" si="11"/>
        <v>4550.0249999999996</v>
      </c>
      <c r="I172" s="14">
        <f t="shared" si="14"/>
        <v>9811250</v>
      </c>
      <c r="J172" s="14">
        <f t="shared" si="12"/>
        <v>2943375</v>
      </c>
      <c r="K172" s="11">
        <f t="shared" si="13"/>
        <v>7.5726914685080401E-2</v>
      </c>
    </row>
    <row r="173" spans="1:11" x14ac:dyDescent="0.3">
      <c r="A173" s="8" t="s">
        <v>149</v>
      </c>
      <c r="B173" s="8" t="s">
        <v>157</v>
      </c>
      <c r="C173" s="12" t="s">
        <v>7</v>
      </c>
      <c r="D173" s="10">
        <v>0.25</v>
      </c>
      <c r="E173" s="14">
        <v>34204000</v>
      </c>
      <c r="F173" s="14">
        <f t="shared" si="10"/>
        <v>10261200</v>
      </c>
      <c r="G173" s="14">
        <v>14572.75</v>
      </c>
      <c r="H173" s="14">
        <f t="shared" si="11"/>
        <v>4371.8249999999998</v>
      </c>
      <c r="I173" s="14">
        <f t="shared" si="14"/>
        <v>8551000</v>
      </c>
      <c r="J173" s="14">
        <f t="shared" si="12"/>
        <v>2565300</v>
      </c>
      <c r="K173" s="11">
        <f t="shared" si="13"/>
        <v>6.5999831568059372E-2</v>
      </c>
    </row>
    <row r="174" spans="1:11" x14ac:dyDescent="0.3">
      <c r="A174" s="8" t="s">
        <v>149</v>
      </c>
      <c r="B174" s="8" t="s">
        <v>158</v>
      </c>
      <c r="C174" s="12" t="s">
        <v>7</v>
      </c>
      <c r="D174" s="10">
        <v>0.25</v>
      </c>
      <c r="E174" s="14">
        <v>20136320</v>
      </c>
      <c r="F174" s="14">
        <f t="shared" si="10"/>
        <v>6040896</v>
      </c>
      <c r="G174" s="14">
        <v>11907.3</v>
      </c>
      <c r="H174" s="14">
        <f t="shared" si="11"/>
        <v>3572.1899999999996</v>
      </c>
      <c r="I174" s="14">
        <f t="shared" si="14"/>
        <v>5034080</v>
      </c>
      <c r="J174" s="14">
        <f t="shared" si="12"/>
        <v>1510224</v>
      </c>
      <c r="K174" s="11">
        <f t="shared" si="13"/>
        <v>3.8854921307465366E-2</v>
      </c>
    </row>
    <row r="175" spans="1:11" x14ac:dyDescent="0.3">
      <c r="A175" s="8" t="s">
        <v>149</v>
      </c>
      <c r="B175" s="8" t="s">
        <v>159</v>
      </c>
      <c r="C175" s="12" t="s">
        <v>7</v>
      </c>
      <c r="D175" s="10">
        <v>0.25</v>
      </c>
      <c r="E175" s="14">
        <v>19150000</v>
      </c>
      <c r="F175" s="14">
        <f t="shared" si="10"/>
        <v>5745000</v>
      </c>
      <c r="G175" s="14">
        <v>23000</v>
      </c>
      <c r="H175" s="14">
        <f t="shared" si="11"/>
        <v>6900</v>
      </c>
      <c r="I175" s="14">
        <f t="shared" si="14"/>
        <v>4787500</v>
      </c>
      <c r="J175" s="14">
        <f t="shared" si="12"/>
        <v>1436250</v>
      </c>
      <c r="K175" s="11">
        <f t="shared" si="13"/>
        <v>3.6951724199752574E-2</v>
      </c>
    </row>
    <row r="176" spans="1:11" x14ac:dyDescent="0.3">
      <c r="A176" s="8" t="s">
        <v>149</v>
      </c>
      <c r="B176" s="8" t="s">
        <v>160</v>
      </c>
      <c r="C176" s="12" t="s">
        <v>7</v>
      </c>
      <c r="D176" s="10">
        <v>0.25</v>
      </c>
      <c r="E176" s="14">
        <v>17710000</v>
      </c>
      <c r="F176" s="14">
        <f t="shared" si="10"/>
        <v>5313000</v>
      </c>
      <c r="G176" s="14">
        <v>6763.25</v>
      </c>
      <c r="H176" s="14">
        <f t="shared" si="11"/>
        <v>2028.9749999999999</v>
      </c>
      <c r="I176" s="14">
        <f t="shared" si="14"/>
        <v>4427500</v>
      </c>
      <c r="J176" s="14">
        <f t="shared" si="12"/>
        <v>1328250</v>
      </c>
      <c r="K176" s="11">
        <f t="shared" si="13"/>
        <v>3.4173108907447416E-2</v>
      </c>
    </row>
    <row r="177" spans="1:11" x14ac:dyDescent="0.3">
      <c r="A177" s="8" t="s">
        <v>149</v>
      </c>
      <c r="B177" s="8" t="s">
        <v>161</v>
      </c>
      <c r="C177" s="12" t="s">
        <v>7</v>
      </c>
      <c r="D177" s="10">
        <v>0.25</v>
      </c>
      <c r="E177" s="14">
        <v>11900000</v>
      </c>
      <c r="F177" s="14">
        <f t="shared" si="10"/>
        <v>3570000</v>
      </c>
      <c r="G177" s="14">
        <v>3867.5</v>
      </c>
      <c r="H177" s="14">
        <f t="shared" si="11"/>
        <v>1160.25</v>
      </c>
      <c r="I177" s="14">
        <f t="shared" si="14"/>
        <v>2975000</v>
      </c>
      <c r="J177" s="14">
        <f t="shared" si="12"/>
        <v>892500</v>
      </c>
      <c r="K177" s="11">
        <f t="shared" si="13"/>
        <v>2.2962168040577317E-2</v>
      </c>
    </row>
    <row r="178" spans="1:11" x14ac:dyDescent="0.3">
      <c r="A178" s="8" t="s">
        <v>149</v>
      </c>
      <c r="B178" s="8" t="s">
        <v>162</v>
      </c>
      <c r="C178" s="12" t="s">
        <v>7</v>
      </c>
      <c r="D178" s="10">
        <v>0.25</v>
      </c>
      <c r="E178" s="14">
        <v>8400000</v>
      </c>
      <c r="F178" s="14">
        <f t="shared" si="10"/>
        <v>2520000</v>
      </c>
      <c r="G178" s="14">
        <v>2730</v>
      </c>
      <c r="H178" s="14">
        <f t="shared" si="11"/>
        <v>819</v>
      </c>
      <c r="I178" s="14">
        <f t="shared" si="14"/>
        <v>2100000</v>
      </c>
      <c r="J178" s="14">
        <f t="shared" si="12"/>
        <v>630000</v>
      </c>
      <c r="K178" s="11">
        <f t="shared" si="13"/>
        <v>1.6208589205113401E-2</v>
      </c>
    </row>
    <row r="179" spans="1:11" x14ac:dyDescent="0.3">
      <c r="A179" s="8" t="s">
        <v>149</v>
      </c>
      <c r="B179" s="8" t="s">
        <v>163</v>
      </c>
      <c r="C179" s="12" t="s">
        <v>7</v>
      </c>
      <c r="D179" s="10">
        <v>0.25</v>
      </c>
      <c r="E179" s="14">
        <v>6488000</v>
      </c>
      <c r="F179" s="14">
        <f t="shared" si="10"/>
        <v>1946400</v>
      </c>
      <c r="G179" s="14">
        <v>4000</v>
      </c>
      <c r="H179" s="14">
        <f t="shared" si="11"/>
        <v>1200</v>
      </c>
      <c r="I179" s="14">
        <f t="shared" si="14"/>
        <v>1622000</v>
      </c>
      <c r="J179" s="14">
        <f t="shared" si="12"/>
        <v>486600</v>
      </c>
      <c r="K179" s="11">
        <f t="shared" si="13"/>
        <v>1.2519205566997111E-2</v>
      </c>
    </row>
    <row r="180" spans="1:11" x14ac:dyDescent="0.3">
      <c r="A180" s="8" t="s">
        <v>149</v>
      </c>
      <c r="B180" s="8" t="s">
        <v>164</v>
      </c>
      <c r="C180" s="12" t="s">
        <v>7</v>
      </c>
      <c r="D180" s="10">
        <v>0.25</v>
      </c>
      <c r="E180" s="14">
        <v>5154000</v>
      </c>
      <c r="F180" s="14">
        <f t="shared" si="10"/>
        <v>1546200</v>
      </c>
      <c r="G180" s="14">
        <v>4000</v>
      </c>
      <c r="H180" s="14">
        <f t="shared" si="11"/>
        <v>1200</v>
      </c>
      <c r="I180" s="14">
        <f t="shared" si="14"/>
        <v>1288500</v>
      </c>
      <c r="J180" s="14">
        <f t="shared" si="12"/>
        <v>386550</v>
      </c>
      <c r="K180" s="11">
        <f t="shared" si="13"/>
        <v>9.9451272337088645E-3</v>
      </c>
    </row>
    <row r="181" spans="1:11" x14ac:dyDescent="0.3">
      <c r="A181" s="8" t="s">
        <v>149</v>
      </c>
      <c r="B181" s="8" t="s">
        <v>165</v>
      </c>
      <c r="C181" s="12" t="s">
        <v>7</v>
      </c>
      <c r="D181" s="10">
        <v>0.25</v>
      </c>
      <c r="E181" s="14">
        <v>3100000</v>
      </c>
      <c r="F181" s="14">
        <f t="shared" si="10"/>
        <v>930000</v>
      </c>
      <c r="G181" s="14">
        <v>2015</v>
      </c>
      <c r="H181" s="14">
        <f t="shared" si="11"/>
        <v>604.5</v>
      </c>
      <c r="I181" s="14">
        <f t="shared" si="14"/>
        <v>775000</v>
      </c>
      <c r="J181" s="14">
        <f t="shared" si="12"/>
        <v>232500</v>
      </c>
      <c r="K181" s="11">
        <f t="shared" si="13"/>
        <v>5.9817412542680403E-3</v>
      </c>
    </row>
    <row r="182" spans="1:11" x14ac:dyDescent="0.3">
      <c r="A182" s="8" t="s">
        <v>149</v>
      </c>
      <c r="B182" s="8" t="s">
        <v>166</v>
      </c>
      <c r="C182" s="12" t="s">
        <v>7</v>
      </c>
      <c r="D182" s="10">
        <v>0.25</v>
      </c>
      <c r="E182" s="14">
        <v>2100000</v>
      </c>
      <c r="F182" s="14">
        <f t="shared" si="10"/>
        <v>630000</v>
      </c>
      <c r="G182" s="14">
        <v>1500</v>
      </c>
      <c r="H182" s="14">
        <f t="shared" si="11"/>
        <v>450</v>
      </c>
      <c r="I182" s="14">
        <f t="shared" si="14"/>
        <v>525000</v>
      </c>
      <c r="J182" s="14">
        <f t="shared" si="12"/>
        <v>157500</v>
      </c>
      <c r="K182" s="11">
        <f t="shared" si="13"/>
        <v>4.0521473012783502E-3</v>
      </c>
    </row>
    <row r="183" spans="1:11" x14ac:dyDescent="0.3">
      <c r="A183" s="8" t="s">
        <v>149</v>
      </c>
      <c r="B183" s="8" t="s">
        <v>167</v>
      </c>
      <c r="C183" s="12" t="s">
        <v>7</v>
      </c>
      <c r="D183" s="10">
        <v>0.25</v>
      </c>
      <c r="E183" s="14">
        <v>1860000</v>
      </c>
      <c r="F183" s="14">
        <f t="shared" si="10"/>
        <v>558000</v>
      </c>
      <c r="G183" s="14">
        <v>1500</v>
      </c>
      <c r="H183" s="14">
        <f t="shared" si="11"/>
        <v>450</v>
      </c>
      <c r="I183" s="14">
        <f t="shared" si="14"/>
        <v>465000</v>
      </c>
      <c r="J183" s="14">
        <f t="shared" si="12"/>
        <v>139500</v>
      </c>
      <c r="K183" s="11">
        <f t="shared" si="13"/>
        <v>3.5890447525608244E-3</v>
      </c>
    </row>
    <row r="184" spans="1:11" x14ac:dyDescent="0.3">
      <c r="A184" s="8" t="s">
        <v>168</v>
      </c>
      <c r="B184" s="8" t="s">
        <v>168</v>
      </c>
      <c r="C184" s="12" t="s">
        <v>7</v>
      </c>
      <c r="D184" s="10">
        <v>0.25</v>
      </c>
      <c r="E184" s="14">
        <v>592133990</v>
      </c>
      <c r="F184" s="14">
        <f t="shared" si="10"/>
        <v>177640197</v>
      </c>
      <c r="G184" s="14">
        <v>482926.68</v>
      </c>
      <c r="H184" s="14">
        <f t="shared" si="11"/>
        <v>144878.00399999999</v>
      </c>
      <c r="I184" s="14">
        <f t="shared" si="14"/>
        <v>148033497.5</v>
      </c>
      <c r="J184" s="14">
        <f t="shared" si="12"/>
        <v>44410049.25</v>
      </c>
      <c r="K184" s="11">
        <f t="shared" si="13"/>
        <v>1.1425781664636578</v>
      </c>
    </row>
    <row r="185" spans="1:11" x14ac:dyDescent="0.3">
      <c r="A185" s="8" t="s">
        <v>168</v>
      </c>
      <c r="B185" s="8" t="s">
        <v>169</v>
      </c>
      <c r="C185" s="12" t="s">
        <v>7</v>
      </c>
      <c r="D185" s="10">
        <v>0.25</v>
      </c>
      <c r="E185" s="14">
        <v>92877000</v>
      </c>
      <c r="F185" s="14">
        <f t="shared" si="10"/>
        <v>27863100</v>
      </c>
      <c r="G185" s="14">
        <v>59155.61</v>
      </c>
      <c r="H185" s="14">
        <f t="shared" si="11"/>
        <v>17746.683000000001</v>
      </c>
      <c r="I185" s="14">
        <f t="shared" si="14"/>
        <v>23219250</v>
      </c>
      <c r="J185" s="14">
        <f t="shared" si="12"/>
        <v>6965775</v>
      </c>
      <c r="K185" s="11">
        <f t="shared" si="13"/>
        <v>0.17921489757182349</v>
      </c>
    </row>
    <row r="186" spans="1:11" x14ac:dyDescent="0.3">
      <c r="A186" s="8" t="s">
        <v>168</v>
      </c>
      <c r="B186" s="8" t="s">
        <v>170</v>
      </c>
      <c r="C186" s="12" t="s">
        <v>7</v>
      </c>
      <c r="D186" s="10">
        <v>0.25</v>
      </c>
      <c r="E186" s="14">
        <v>63020000</v>
      </c>
      <c r="F186" s="14">
        <f t="shared" si="10"/>
        <v>18906000</v>
      </c>
      <c r="G186" s="14">
        <v>49093.25</v>
      </c>
      <c r="H186" s="14">
        <f t="shared" si="11"/>
        <v>14727.975</v>
      </c>
      <c r="I186" s="14">
        <f t="shared" si="14"/>
        <v>15755000</v>
      </c>
      <c r="J186" s="14">
        <f t="shared" si="12"/>
        <v>4726500</v>
      </c>
      <c r="K186" s="11">
        <f t="shared" si="13"/>
        <v>0.1216030109174103</v>
      </c>
    </row>
    <row r="187" spans="1:11" x14ac:dyDescent="0.3">
      <c r="A187" s="8" t="s">
        <v>168</v>
      </c>
      <c r="B187" s="8" t="s">
        <v>171</v>
      </c>
      <c r="C187" s="12" t="s">
        <v>7</v>
      </c>
      <c r="D187" s="10">
        <v>0.25</v>
      </c>
      <c r="E187" s="14">
        <v>57280000</v>
      </c>
      <c r="F187" s="14">
        <f t="shared" si="10"/>
        <v>17184000</v>
      </c>
      <c r="G187" s="14">
        <v>34241</v>
      </c>
      <c r="H187" s="14">
        <f t="shared" si="11"/>
        <v>10272.299999999999</v>
      </c>
      <c r="I187" s="14">
        <f t="shared" si="14"/>
        <v>14320000</v>
      </c>
      <c r="J187" s="14">
        <f t="shared" si="12"/>
        <v>4296000</v>
      </c>
      <c r="K187" s="11">
        <f t="shared" si="13"/>
        <v>0.11052714162724947</v>
      </c>
    </row>
    <row r="188" spans="1:11" x14ac:dyDescent="0.3">
      <c r="A188" s="8" t="s">
        <v>168</v>
      </c>
      <c r="B188" s="8" t="s">
        <v>172</v>
      </c>
      <c r="C188" s="12" t="s">
        <v>7</v>
      </c>
      <c r="D188" s="10">
        <v>0.25</v>
      </c>
      <c r="E188" s="14">
        <v>56888330</v>
      </c>
      <c r="F188" s="14">
        <f t="shared" si="10"/>
        <v>17066499</v>
      </c>
      <c r="G188" s="14">
        <v>22321.279999999999</v>
      </c>
      <c r="H188" s="14">
        <f t="shared" si="11"/>
        <v>6696.3839999999991</v>
      </c>
      <c r="I188" s="14">
        <f t="shared" si="14"/>
        <v>14222082.5</v>
      </c>
      <c r="J188" s="14">
        <f t="shared" si="12"/>
        <v>4266624.75</v>
      </c>
      <c r="K188" s="11">
        <f t="shared" si="13"/>
        <v>0.10977137756368199</v>
      </c>
    </row>
    <row r="189" spans="1:11" x14ac:dyDescent="0.3">
      <c r="A189" s="8" t="s">
        <v>168</v>
      </c>
      <c r="B189" s="8" t="s">
        <v>173</v>
      </c>
      <c r="C189" s="12" t="s">
        <v>7</v>
      </c>
      <c r="D189" s="10">
        <v>0.25</v>
      </c>
      <c r="E189" s="14">
        <v>56731000</v>
      </c>
      <c r="F189" s="14">
        <f t="shared" si="10"/>
        <v>17019300</v>
      </c>
      <c r="G189" s="14">
        <v>22391.1</v>
      </c>
      <c r="H189" s="14">
        <f t="shared" si="11"/>
        <v>6717.329999999999</v>
      </c>
      <c r="I189" s="14">
        <f t="shared" si="14"/>
        <v>14182750</v>
      </c>
      <c r="J189" s="14">
        <f t="shared" si="12"/>
        <v>4254825</v>
      </c>
      <c r="K189" s="11">
        <f t="shared" si="13"/>
        <v>0.10946779454705813</v>
      </c>
    </row>
    <row r="190" spans="1:11" x14ac:dyDescent="0.3">
      <c r="A190" s="8" t="s">
        <v>168</v>
      </c>
      <c r="B190" s="8" t="s">
        <v>174</v>
      </c>
      <c r="C190" s="12" t="s">
        <v>7</v>
      </c>
      <c r="D190" s="10">
        <v>0.25</v>
      </c>
      <c r="E190" s="14">
        <v>49544400</v>
      </c>
      <c r="F190" s="14">
        <f t="shared" si="10"/>
        <v>14863320</v>
      </c>
      <c r="G190" s="14">
        <v>19107.11</v>
      </c>
      <c r="H190" s="14">
        <f t="shared" si="11"/>
        <v>5732.1329999999998</v>
      </c>
      <c r="I190" s="14">
        <f t="shared" si="14"/>
        <v>12386100</v>
      </c>
      <c r="J190" s="14">
        <f t="shared" si="12"/>
        <v>3715830</v>
      </c>
      <c r="K190" s="11">
        <f t="shared" si="13"/>
        <v>9.5600574644502417E-2</v>
      </c>
    </row>
    <row r="191" spans="1:11" x14ac:dyDescent="0.3">
      <c r="A191" s="8" t="s">
        <v>168</v>
      </c>
      <c r="B191" s="8" t="s">
        <v>175</v>
      </c>
      <c r="C191" s="12" t="s">
        <v>7</v>
      </c>
      <c r="D191" s="10">
        <v>0.25</v>
      </c>
      <c r="E191" s="14">
        <v>22200000</v>
      </c>
      <c r="F191" s="14">
        <f t="shared" si="10"/>
        <v>6660000</v>
      </c>
      <c r="G191" s="14">
        <v>9093</v>
      </c>
      <c r="H191" s="14">
        <f t="shared" si="11"/>
        <v>2727.9</v>
      </c>
      <c r="I191" s="14">
        <f t="shared" si="14"/>
        <v>5550000</v>
      </c>
      <c r="J191" s="14">
        <f t="shared" si="12"/>
        <v>1665000</v>
      </c>
      <c r="K191" s="11">
        <f t="shared" si="13"/>
        <v>4.2836985756371126E-2</v>
      </c>
    </row>
    <row r="192" spans="1:11" x14ac:dyDescent="0.3">
      <c r="A192" s="8" t="s">
        <v>168</v>
      </c>
      <c r="B192" s="8" t="s">
        <v>176</v>
      </c>
      <c r="C192" s="12" t="s">
        <v>7</v>
      </c>
      <c r="D192" s="10">
        <v>0.25</v>
      </c>
      <c r="E192" s="14">
        <v>21595000</v>
      </c>
      <c r="F192" s="14">
        <f t="shared" si="10"/>
        <v>6478500</v>
      </c>
      <c r="G192" s="14">
        <v>11732.5</v>
      </c>
      <c r="H192" s="14">
        <f t="shared" si="11"/>
        <v>3519.75</v>
      </c>
      <c r="I192" s="14">
        <f t="shared" si="14"/>
        <v>5398750</v>
      </c>
      <c r="J192" s="14">
        <f t="shared" si="12"/>
        <v>1619625</v>
      </c>
      <c r="K192" s="11">
        <f t="shared" si="13"/>
        <v>4.1669581414812362E-2</v>
      </c>
    </row>
    <row r="193" spans="1:11" x14ac:dyDescent="0.3">
      <c r="A193" s="8" t="s">
        <v>168</v>
      </c>
      <c r="B193" s="8" t="s">
        <v>177</v>
      </c>
      <c r="C193" s="12" t="s">
        <v>7</v>
      </c>
      <c r="D193" s="10">
        <v>0.25</v>
      </c>
      <c r="E193" s="14">
        <v>21560000</v>
      </c>
      <c r="F193" s="14">
        <f t="shared" si="10"/>
        <v>6468000</v>
      </c>
      <c r="G193" s="14">
        <v>7051</v>
      </c>
      <c r="H193" s="14">
        <f t="shared" si="11"/>
        <v>2115.2999999999997</v>
      </c>
      <c r="I193" s="14">
        <f t="shared" si="14"/>
        <v>5390000</v>
      </c>
      <c r="J193" s="14">
        <f t="shared" si="12"/>
        <v>1617000</v>
      </c>
      <c r="K193" s="11">
        <f t="shared" si="13"/>
        <v>4.1602045626457723E-2</v>
      </c>
    </row>
    <row r="194" spans="1:11" x14ac:dyDescent="0.3">
      <c r="A194" s="8" t="s">
        <v>168</v>
      </c>
      <c r="B194" s="8" t="s">
        <v>178</v>
      </c>
      <c r="C194" s="12" t="s">
        <v>7</v>
      </c>
      <c r="D194" s="10">
        <v>0.25</v>
      </c>
      <c r="E194" s="14">
        <v>21350000</v>
      </c>
      <c r="F194" s="14">
        <f t="shared" si="10"/>
        <v>6405000</v>
      </c>
      <c r="G194" s="14">
        <v>7073.75</v>
      </c>
      <c r="H194" s="14">
        <f t="shared" si="11"/>
        <v>2122.125</v>
      </c>
      <c r="I194" s="14">
        <f t="shared" si="14"/>
        <v>5337500</v>
      </c>
      <c r="J194" s="14">
        <f t="shared" si="12"/>
        <v>1601250</v>
      </c>
      <c r="K194" s="11">
        <f t="shared" si="13"/>
        <v>4.1196830896329889E-2</v>
      </c>
    </row>
    <row r="195" spans="1:11" x14ac:dyDescent="0.3">
      <c r="A195" s="8" t="s">
        <v>168</v>
      </c>
      <c r="B195" s="8" t="s">
        <v>179</v>
      </c>
      <c r="C195" s="12" t="s">
        <v>7</v>
      </c>
      <c r="D195" s="10">
        <v>0.25</v>
      </c>
      <c r="E195" s="14">
        <v>21000000</v>
      </c>
      <c r="F195" s="14">
        <f t="shared" si="10"/>
        <v>6300000</v>
      </c>
      <c r="G195" s="14">
        <v>13170</v>
      </c>
      <c r="H195" s="14">
        <f t="shared" si="11"/>
        <v>3951</v>
      </c>
      <c r="I195" s="14">
        <f t="shared" si="14"/>
        <v>5250000</v>
      </c>
      <c r="J195" s="14">
        <f t="shared" si="12"/>
        <v>1575000</v>
      </c>
      <c r="K195" s="11">
        <f t="shared" si="13"/>
        <v>4.0521473012783499E-2</v>
      </c>
    </row>
    <row r="196" spans="1:11" x14ac:dyDescent="0.3">
      <c r="A196" s="8" t="s">
        <v>168</v>
      </c>
      <c r="B196" s="8" t="s">
        <v>180</v>
      </c>
      <c r="C196" s="12" t="s">
        <v>7</v>
      </c>
      <c r="D196" s="10">
        <v>0.25</v>
      </c>
      <c r="E196" s="14">
        <v>18716440</v>
      </c>
      <c r="F196" s="14">
        <f t="shared" ref="F196:F259" si="15">E196*0.3</f>
        <v>5614932</v>
      </c>
      <c r="G196" s="14">
        <v>21230</v>
      </c>
      <c r="H196" s="14">
        <f t="shared" ref="H196:H259" si="16">G196*0.3</f>
        <v>6369</v>
      </c>
      <c r="I196" s="14">
        <f t="shared" si="14"/>
        <v>4679110</v>
      </c>
      <c r="J196" s="14">
        <f t="shared" ref="J196:J259" si="17">I196*0.3</f>
        <v>1403733</v>
      </c>
      <c r="K196" s="11">
        <f t="shared" ref="K196:K259" si="18">J196/$H$587</f>
        <v>3.6115129445494359E-2</v>
      </c>
    </row>
    <row r="197" spans="1:11" x14ac:dyDescent="0.3">
      <c r="A197" s="8" t="s">
        <v>168</v>
      </c>
      <c r="B197" s="8" t="s">
        <v>181</v>
      </c>
      <c r="C197" s="12" t="s">
        <v>7</v>
      </c>
      <c r="D197" s="10">
        <v>0.25</v>
      </c>
      <c r="E197" s="14">
        <v>16697000</v>
      </c>
      <c r="F197" s="14">
        <f t="shared" si="15"/>
        <v>5009100</v>
      </c>
      <c r="G197" s="14">
        <v>6050</v>
      </c>
      <c r="H197" s="14">
        <f t="shared" si="16"/>
        <v>1815</v>
      </c>
      <c r="I197" s="14">
        <f t="shared" si="14"/>
        <v>4174250</v>
      </c>
      <c r="J197" s="14">
        <f t="shared" si="17"/>
        <v>1252275</v>
      </c>
      <c r="K197" s="11">
        <f t="shared" si="18"/>
        <v>3.2218430233068862E-2</v>
      </c>
    </row>
    <row r="198" spans="1:11" x14ac:dyDescent="0.3">
      <c r="A198" s="8" t="s">
        <v>168</v>
      </c>
      <c r="B198" s="8" t="s">
        <v>182</v>
      </c>
      <c r="C198" s="12" t="s">
        <v>7</v>
      </c>
      <c r="D198" s="10">
        <v>0.25</v>
      </c>
      <c r="E198" s="14">
        <v>13800000</v>
      </c>
      <c r="F198" s="14">
        <f t="shared" si="15"/>
        <v>4140000</v>
      </c>
      <c r="G198" s="14">
        <v>8185</v>
      </c>
      <c r="H198" s="14">
        <f t="shared" si="16"/>
        <v>2455.5</v>
      </c>
      <c r="I198" s="14">
        <f t="shared" ref="I198:I261" si="19">E198*D198</f>
        <v>3450000</v>
      </c>
      <c r="J198" s="14">
        <f t="shared" si="17"/>
        <v>1035000</v>
      </c>
      <c r="K198" s="11">
        <f t="shared" si="18"/>
        <v>2.6628396551257729E-2</v>
      </c>
    </row>
    <row r="199" spans="1:11" x14ac:dyDescent="0.3">
      <c r="A199" s="8" t="s">
        <v>168</v>
      </c>
      <c r="B199" s="8" t="s">
        <v>183</v>
      </c>
      <c r="C199" s="12" t="s">
        <v>7</v>
      </c>
      <c r="D199" s="10">
        <v>0.25</v>
      </c>
      <c r="E199" s="14">
        <v>13339500</v>
      </c>
      <c r="F199" s="14">
        <f t="shared" si="15"/>
        <v>4001850</v>
      </c>
      <c r="G199" s="14">
        <v>4340.34</v>
      </c>
      <c r="H199" s="14">
        <f t="shared" si="16"/>
        <v>1302.1020000000001</v>
      </c>
      <c r="I199" s="14">
        <f t="shared" si="19"/>
        <v>3334875</v>
      </c>
      <c r="J199" s="14">
        <f t="shared" si="17"/>
        <v>1000462.5</v>
      </c>
      <c r="K199" s="11">
        <f t="shared" si="18"/>
        <v>2.5739818535905977E-2</v>
      </c>
    </row>
    <row r="200" spans="1:11" x14ac:dyDescent="0.3">
      <c r="A200" s="8" t="s">
        <v>168</v>
      </c>
      <c r="B200" s="8" t="s">
        <v>184</v>
      </c>
      <c r="C200" s="12" t="s">
        <v>7</v>
      </c>
      <c r="D200" s="10">
        <v>0.25</v>
      </c>
      <c r="E200" s="14">
        <v>12616000</v>
      </c>
      <c r="F200" s="14">
        <f t="shared" si="15"/>
        <v>3784800</v>
      </c>
      <c r="G200" s="14">
        <v>4230</v>
      </c>
      <c r="H200" s="14">
        <f t="shared" si="16"/>
        <v>1269</v>
      </c>
      <c r="I200" s="14">
        <f t="shared" si="19"/>
        <v>3154000</v>
      </c>
      <c r="J200" s="14">
        <f t="shared" si="17"/>
        <v>946200</v>
      </c>
      <c r="K200" s="11">
        <f t="shared" si="18"/>
        <v>2.4343757310917934E-2</v>
      </c>
    </row>
    <row r="201" spans="1:11" x14ac:dyDescent="0.3">
      <c r="A201" s="8" t="s">
        <v>168</v>
      </c>
      <c r="B201" s="8" t="s">
        <v>185</v>
      </c>
      <c r="C201" s="12" t="s">
        <v>7</v>
      </c>
      <c r="D201" s="10">
        <v>0.25</v>
      </c>
      <c r="E201" s="14">
        <v>8432000</v>
      </c>
      <c r="F201" s="14">
        <f t="shared" si="15"/>
        <v>2529600</v>
      </c>
      <c r="G201" s="14">
        <v>3000</v>
      </c>
      <c r="H201" s="14">
        <f t="shared" si="16"/>
        <v>900</v>
      </c>
      <c r="I201" s="14">
        <f t="shared" si="19"/>
        <v>2108000</v>
      </c>
      <c r="J201" s="14">
        <f t="shared" si="17"/>
        <v>632400</v>
      </c>
      <c r="K201" s="11">
        <f t="shared" si="18"/>
        <v>1.627033621160907E-2</v>
      </c>
    </row>
    <row r="202" spans="1:11" x14ac:dyDescent="0.3">
      <c r="A202" s="8" t="s">
        <v>168</v>
      </c>
      <c r="B202" s="8" t="s">
        <v>186</v>
      </c>
      <c r="C202" s="12" t="s">
        <v>7</v>
      </c>
      <c r="D202" s="10">
        <v>0.25</v>
      </c>
      <c r="E202" s="14">
        <v>7000000</v>
      </c>
      <c r="F202" s="14">
        <f t="shared" si="15"/>
        <v>2100000</v>
      </c>
      <c r="G202" s="14">
        <v>2275</v>
      </c>
      <c r="H202" s="14">
        <f t="shared" si="16"/>
        <v>682.5</v>
      </c>
      <c r="I202" s="14">
        <f t="shared" si="19"/>
        <v>1750000</v>
      </c>
      <c r="J202" s="14">
        <f t="shared" si="17"/>
        <v>525000</v>
      </c>
      <c r="K202" s="11">
        <f t="shared" si="18"/>
        <v>1.3507157670927833E-2</v>
      </c>
    </row>
    <row r="203" spans="1:11" x14ac:dyDescent="0.3">
      <c r="A203" s="8" t="s">
        <v>168</v>
      </c>
      <c r="B203" s="8" t="s">
        <v>187</v>
      </c>
      <c r="C203" s="12" t="s">
        <v>7</v>
      </c>
      <c r="D203" s="10">
        <v>0.25</v>
      </c>
      <c r="E203" s="14">
        <v>6600000</v>
      </c>
      <c r="F203" s="14">
        <f t="shared" si="15"/>
        <v>1980000</v>
      </c>
      <c r="G203" s="14">
        <v>4320</v>
      </c>
      <c r="H203" s="14">
        <f t="shared" si="16"/>
        <v>1296</v>
      </c>
      <c r="I203" s="14">
        <f t="shared" si="19"/>
        <v>1650000</v>
      </c>
      <c r="J203" s="14">
        <f t="shared" si="17"/>
        <v>495000</v>
      </c>
      <c r="K203" s="11">
        <f t="shared" si="18"/>
        <v>1.2735320089731958E-2</v>
      </c>
    </row>
    <row r="204" spans="1:11" x14ac:dyDescent="0.3">
      <c r="A204" s="8" t="s">
        <v>168</v>
      </c>
      <c r="B204" s="8" t="s">
        <v>188</v>
      </c>
      <c r="C204" s="12" t="s">
        <v>7</v>
      </c>
      <c r="D204" s="10">
        <v>0.25</v>
      </c>
      <c r="E204" s="14">
        <v>6300000</v>
      </c>
      <c r="F204" s="14">
        <f t="shared" si="15"/>
        <v>1890000</v>
      </c>
      <c r="G204" s="14">
        <v>2047.5</v>
      </c>
      <c r="H204" s="14">
        <f t="shared" si="16"/>
        <v>614.25</v>
      </c>
      <c r="I204" s="14">
        <f t="shared" si="19"/>
        <v>1575000</v>
      </c>
      <c r="J204" s="14">
        <f t="shared" si="17"/>
        <v>472500</v>
      </c>
      <c r="K204" s="11">
        <f t="shared" si="18"/>
        <v>1.2156441903835051E-2</v>
      </c>
    </row>
    <row r="205" spans="1:11" x14ac:dyDescent="0.3">
      <c r="A205" s="8" t="s">
        <v>168</v>
      </c>
      <c r="B205" s="8" t="s">
        <v>189</v>
      </c>
      <c r="C205" s="12" t="s">
        <v>7</v>
      </c>
      <c r="D205" s="10">
        <v>0.25</v>
      </c>
      <c r="E205" s="14">
        <v>5139000</v>
      </c>
      <c r="F205" s="14">
        <f t="shared" si="15"/>
        <v>1541700</v>
      </c>
      <c r="G205" s="14">
        <v>9000</v>
      </c>
      <c r="H205" s="14">
        <f t="shared" si="16"/>
        <v>2700</v>
      </c>
      <c r="I205" s="14">
        <f t="shared" si="19"/>
        <v>1284750</v>
      </c>
      <c r="J205" s="14">
        <f t="shared" si="17"/>
        <v>385425</v>
      </c>
      <c r="K205" s="11">
        <f t="shared" si="18"/>
        <v>9.9161833244140185E-3</v>
      </c>
    </row>
    <row r="206" spans="1:11" x14ac:dyDescent="0.3">
      <c r="A206" s="8" t="s">
        <v>168</v>
      </c>
      <c r="B206" s="8" t="s">
        <v>190</v>
      </c>
      <c r="C206" s="12" t="s">
        <v>7</v>
      </c>
      <c r="D206" s="10">
        <v>0.25</v>
      </c>
      <c r="E206" s="14">
        <v>5081250</v>
      </c>
      <c r="F206" s="14">
        <f t="shared" si="15"/>
        <v>1524375</v>
      </c>
      <c r="G206" s="14">
        <v>4371.38</v>
      </c>
      <c r="H206" s="14">
        <f t="shared" si="16"/>
        <v>1311.414</v>
      </c>
      <c r="I206" s="14">
        <f t="shared" si="19"/>
        <v>1270312.5</v>
      </c>
      <c r="J206" s="14">
        <f t="shared" si="17"/>
        <v>381093.75</v>
      </c>
      <c r="K206" s="11">
        <f t="shared" si="18"/>
        <v>9.8047492736288641E-3</v>
      </c>
    </row>
    <row r="207" spans="1:11" x14ac:dyDescent="0.3">
      <c r="A207" s="8" t="s">
        <v>168</v>
      </c>
      <c r="B207" s="8" t="s">
        <v>191</v>
      </c>
      <c r="C207" s="12" t="s">
        <v>7</v>
      </c>
      <c r="D207" s="10">
        <v>0.25</v>
      </c>
      <c r="E207" s="14">
        <v>4262500</v>
      </c>
      <c r="F207" s="14">
        <f t="shared" si="15"/>
        <v>1278750</v>
      </c>
      <c r="G207" s="14">
        <v>1500</v>
      </c>
      <c r="H207" s="14">
        <f t="shared" si="16"/>
        <v>450</v>
      </c>
      <c r="I207" s="14">
        <f t="shared" si="19"/>
        <v>1065625</v>
      </c>
      <c r="J207" s="14">
        <f t="shared" si="17"/>
        <v>319687.5</v>
      </c>
      <c r="K207" s="11">
        <f t="shared" si="18"/>
        <v>8.2248942246185563E-3</v>
      </c>
    </row>
    <row r="208" spans="1:11" x14ac:dyDescent="0.3">
      <c r="A208" s="8" t="s">
        <v>168</v>
      </c>
      <c r="B208" s="8" t="s">
        <v>192</v>
      </c>
      <c r="C208" s="12" t="s">
        <v>7</v>
      </c>
      <c r="D208" s="10">
        <v>0.25</v>
      </c>
      <c r="E208" s="14">
        <v>3720000</v>
      </c>
      <c r="F208" s="14">
        <f t="shared" si="15"/>
        <v>1116000</v>
      </c>
      <c r="G208" s="14">
        <v>1500</v>
      </c>
      <c r="H208" s="14">
        <f t="shared" si="16"/>
        <v>450</v>
      </c>
      <c r="I208" s="14">
        <f t="shared" si="19"/>
        <v>930000</v>
      </c>
      <c r="J208" s="14">
        <f t="shared" si="17"/>
        <v>279000</v>
      </c>
      <c r="K208" s="11">
        <f t="shared" si="18"/>
        <v>7.1780895051216488E-3</v>
      </c>
    </row>
    <row r="209" spans="1:11" x14ac:dyDescent="0.3">
      <c r="A209" s="8" t="s">
        <v>168</v>
      </c>
      <c r="B209" s="8" t="s">
        <v>193</v>
      </c>
      <c r="C209" s="12" t="s">
        <v>7</v>
      </c>
      <c r="D209" s="10">
        <v>0.25</v>
      </c>
      <c r="E209" s="14">
        <v>2672820</v>
      </c>
      <c r="F209" s="14">
        <f t="shared" si="15"/>
        <v>801846</v>
      </c>
      <c r="G209" s="14">
        <v>1500</v>
      </c>
      <c r="H209" s="14">
        <f t="shared" si="16"/>
        <v>450</v>
      </c>
      <c r="I209" s="14">
        <f t="shared" si="19"/>
        <v>668205</v>
      </c>
      <c r="J209" s="14">
        <f t="shared" si="17"/>
        <v>200461.5</v>
      </c>
      <c r="K209" s="11">
        <f t="shared" si="18"/>
        <v>5.1574573094299043E-3</v>
      </c>
    </row>
    <row r="210" spans="1:11" x14ac:dyDescent="0.3">
      <c r="A210" s="8" t="s">
        <v>168</v>
      </c>
      <c r="B210" s="8" t="s">
        <v>194</v>
      </c>
      <c r="C210" s="12" t="s">
        <v>7</v>
      </c>
      <c r="D210" s="10">
        <v>0.25</v>
      </c>
      <c r="E210" s="14">
        <v>840000</v>
      </c>
      <c r="F210" s="14">
        <f t="shared" si="15"/>
        <v>252000</v>
      </c>
      <c r="G210" s="14">
        <v>1500</v>
      </c>
      <c r="H210" s="14">
        <f t="shared" si="16"/>
        <v>450</v>
      </c>
      <c r="I210" s="14">
        <f t="shared" si="19"/>
        <v>210000</v>
      </c>
      <c r="J210" s="14">
        <f t="shared" si="17"/>
        <v>63000</v>
      </c>
      <c r="K210" s="11">
        <f t="shared" si="18"/>
        <v>1.6208589205113401E-3</v>
      </c>
    </row>
    <row r="211" spans="1:11" x14ac:dyDescent="0.3">
      <c r="A211" s="8" t="s">
        <v>195</v>
      </c>
      <c r="B211" s="8" t="s">
        <v>214</v>
      </c>
      <c r="C211" s="12" t="s">
        <v>7</v>
      </c>
      <c r="D211" s="10">
        <v>0.25</v>
      </c>
      <c r="E211" s="14">
        <v>37602250</v>
      </c>
      <c r="F211" s="14">
        <f t="shared" si="15"/>
        <v>11280675</v>
      </c>
      <c r="G211" s="14">
        <v>11637.898999999999</v>
      </c>
      <c r="H211" s="14">
        <f t="shared" si="16"/>
        <v>3491.3696999999997</v>
      </c>
      <c r="I211" s="14">
        <f t="shared" si="19"/>
        <v>9400562.5</v>
      </c>
      <c r="J211" s="14">
        <f t="shared" si="17"/>
        <v>2820168.75</v>
      </c>
      <c r="K211" s="11">
        <f t="shared" si="18"/>
        <v>7.2557074218806583E-2</v>
      </c>
    </row>
    <row r="212" spans="1:11" x14ac:dyDescent="0.3">
      <c r="A212" s="8" t="s">
        <v>227</v>
      </c>
      <c r="B212" s="8" t="s">
        <v>228</v>
      </c>
      <c r="C212" s="12" t="s">
        <v>7</v>
      </c>
      <c r="D212" s="10">
        <v>0.25</v>
      </c>
      <c r="E212" s="14">
        <v>1637228141.95</v>
      </c>
      <c r="F212" s="14">
        <f t="shared" si="15"/>
        <v>491168442.58499998</v>
      </c>
      <c r="G212" s="14">
        <v>1090815.1299999999</v>
      </c>
      <c r="H212" s="14">
        <f t="shared" si="16"/>
        <v>327244.53899999993</v>
      </c>
      <c r="I212" s="14">
        <f t="shared" si="19"/>
        <v>409307035.48750001</v>
      </c>
      <c r="J212" s="14">
        <f t="shared" si="17"/>
        <v>122792110.64624999</v>
      </c>
      <c r="K212" s="11">
        <f t="shared" si="18"/>
        <v>3.1591855223712666</v>
      </c>
    </row>
    <row r="213" spans="1:11" x14ac:dyDescent="0.3">
      <c r="A213" s="8" t="s">
        <v>227</v>
      </c>
      <c r="B213" s="8" t="s">
        <v>229</v>
      </c>
      <c r="C213" s="12" t="s">
        <v>7</v>
      </c>
      <c r="D213" s="10">
        <v>0.25</v>
      </c>
      <c r="E213" s="14">
        <v>422514260</v>
      </c>
      <c r="F213" s="14">
        <f t="shared" si="15"/>
        <v>126754278</v>
      </c>
      <c r="G213" s="14">
        <v>226955.603</v>
      </c>
      <c r="H213" s="14">
        <f t="shared" si="16"/>
        <v>68086.680899999992</v>
      </c>
      <c r="I213" s="14">
        <f t="shared" si="19"/>
        <v>105628565</v>
      </c>
      <c r="J213" s="14">
        <f t="shared" si="17"/>
        <v>31688569.5</v>
      </c>
      <c r="K213" s="11">
        <f t="shared" si="18"/>
        <v>0.81528096114791382</v>
      </c>
    </row>
    <row r="214" spans="1:11" x14ac:dyDescent="0.3">
      <c r="A214" s="8" t="s">
        <v>227</v>
      </c>
      <c r="B214" s="8" t="s">
        <v>230</v>
      </c>
      <c r="C214" s="12" t="s">
        <v>7</v>
      </c>
      <c r="D214" s="10">
        <v>0.25</v>
      </c>
      <c r="E214" s="14">
        <v>317812933.45999998</v>
      </c>
      <c r="F214" s="14">
        <f t="shared" si="15"/>
        <v>95343880.037999988</v>
      </c>
      <c r="G214" s="14">
        <v>366902.18</v>
      </c>
      <c r="H214" s="14">
        <f t="shared" si="16"/>
        <v>110070.65399999999</v>
      </c>
      <c r="I214" s="14">
        <f t="shared" si="19"/>
        <v>79453233.364999995</v>
      </c>
      <c r="J214" s="14">
        <f t="shared" si="17"/>
        <v>23835970.009499997</v>
      </c>
      <c r="K214" s="11">
        <f t="shared" si="18"/>
        <v>0.61324991458633082</v>
      </c>
    </row>
    <row r="215" spans="1:11" x14ac:dyDescent="0.3">
      <c r="A215" s="8" t="s">
        <v>227</v>
      </c>
      <c r="B215" s="8" t="s">
        <v>231</v>
      </c>
      <c r="C215" s="12" t="s">
        <v>7</v>
      </c>
      <c r="D215" s="10">
        <v>0.25</v>
      </c>
      <c r="E215" s="14">
        <v>245355270</v>
      </c>
      <c r="F215" s="14">
        <f t="shared" si="15"/>
        <v>73606581</v>
      </c>
      <c r="G215" s="14">
        <v>236913.01</v>
      </c>
      <c r="H215" s="14">
        <f t="shared" si="16"/>
        <v>71073.903000000006</v>
      </c>
      <c r="I215" s="14">
        <f t="shared" si="19"/>
        <v>61338817.5</v>
      </c>
      <c r="J215" s="14">
        <f t="shared" si="17"/>
        <v>18401645.25</v>
      </c>
      <c r="K215" s="11">
        <f t="shared" si="18"/>
        <v>0.4734360453261528</v>
      </c>
    </row>
    <row r="216" spans="1:11" x14ac:dyDescent="0.3">
      <c r="A216" s="8" t="s">
        <v>227</v>
      </c>
      <c r="B216" s="8" t="s">
        <v>232</v>
      </c>
      <c r="C216" s="12" t="s">
        <v>7</v>
      </c>
      <c r="D216" s="10">
        <v>0.25</v>
      </c>
      <c r="E216" s="14">
        <v>225761950</v>
      </c>
      <c r="F216" s="14">
        <f t="shared" si="15"/>
        <v>67728585</v>
      </c>
      <c r="G216" s="14">
        <v>165415.07999999999</v>
      </c>
      <c r="H216" s="14">
        <f t="shared" si="16"/>
        <v>49624.523999999998</v>
      </c>
      <c r="I216" s="14">
        <f t="shared" si="19"/>
        <v>56440487.5</v>
      </c>
      <c r="J216" s="14">
        <f t="shared" si="17"/>
        <v>16932146.25</v>
      </c>
      <c r="K216" s="11">
        <f t="shared" si="18"/>
        <v>0.43562889353516082</v>
      </c>
    </row>
    <row r="217" spans="1:11" x14ac:dyDescent="0.3">
      <c r="A217" s="8" t="s">
        <v>227</v>
      </c>
      <c r="B217" s="8" t="s">
        <v>233</v>
      </c>
      <c r="C217" s="12" t="s">
        <v>7</v>
      </c>
      <c r="D217" s="10">
        <v>0.25</v>
      </c>
      <c r="E217" s="14">
        <v>183696507.5</v>
      </c>
      <c r="F217" s="14">
        <f t="shared" si="15"/>
        <v>55108952.25</v>
      </c>
      <c r="G217" s="14">
        <v>126497.27</v>
      </c>
      <c r="H217" s="14">
        <f t="shared" si="16"/>
        <v>37949.180999999997</v>
      </c>
      <c r="I217" s="14">
        <f t="shared" si="19"/>
        <v>45924126.875</v>
      </c>
      <c r="J217" s="14">
        <f t="shared" si="17"/>
        <v>13777238.0625</v>
      </c>
      <c r="K217" s="11">
        <f t="shared" si="18"/>
        <v>0.35445967005732532</v>
      </c>
    </row>
    <row r="218" spans="1:11" x14ac:dyDescent="0.3">
      <c r="A218" s="8" t="s">
        <v>227</v>
      </c>
      <c r="B218" s="8" t="s">
        <v>234</v>
      </c>
      <c r="C218" s="12" t="s">
        <v>7</v>
      </c>
      <c r="D218" s="10">
        <v>0.25</v>
      </c>
      <c r="E218" s="14">
        <v>105263200</v>
      </c>
      <c r="F218" s="14">
        <f t="shared" si="15"/>
        <v>31578960</v>
      </c>
      <c r="G218" s="14">
        <v>80902.039999999994</v>
      </c>
      <c r="H218" s="14">
        <f t="shared" si="16"/>
        <v>24270.611999999997</v>
      </c>
      <c r="I218" s="14">
        <f t="shared" si="19"/>
        <v>26315800</v>
      </c>
      <c r="J218" s="14">
        <f t="shared" si="17"/>
        <v>7894740</v>
      </c>
      <c r="K218" s="11">
        <f t="shared" si="18"/>
        <v>0.2031152341923444</v>
      </c>
    </row>
    <row r="219" spans="1:11" x14ac:dyDescent="0.3">
      <c r="A219" s="8" t="s">
        <v>227</v>
      </c>
      <c r="B219" s="8" t="s">
        <v>235</v>
      </c>
      <c r="C219" s="12" t="s">
        <v>7</v>
      </c>
      <c r="D219" s="10">
        <v>0.25</v>
      </c>
      <c r="E219" s="14">
        <v>101583100</v>
      </c>
      <c r="F219" s="14">
        <f t="shared" si="15"/>
        <v>30474930</v>
      </c>
      <c r="G219" s="14">
        <v>80035.66</v>
      </c>
      <c r="H219" s="14">
        <f t="shared" si="16"/>
        <v>24010.698</v>
      </c>
      <c r="I219" s="14">
        <f t="shared" si="19"/>
        <v>25395775</v>
      </c>
      <c r="J219" s="14">
        <f t="shared" si="17"/>
        <v>7618732.5</v>
      </c>
      <c r="K219" s="11">
        <f t="shared" si="18"/>
        <v>0.19601413548594704</v>
      </c>
    </row>
    <row r="220" spans="1:11" x14ac:dyDescent="0.3">
      <c r="A220" s="8" t="s">
        <v>227</v>
      </c>
      <c r="B220" s="8" t="s">
        <v>236</v>
      </c>
      <c r="C220" s="12" t="s">
        <v>7</v>
      </c>
      <c r="D220" s="10">
        <v>0.25</v>
      </c>
      <c r="E220" s="14">
        <v>96772900</v>
      </c>
      <c r="F220" s="14">
        <f t="shared" si="15"/>
        <v>29031870</v>
      </c>
      <c r="G220" s="14">
        <v>82491.22</v>
      </c>
      <c r="H220" s="14">
        <f t="shared" si="16"/>
        <v>24747.365999999998</v>
      </c>
      <c r="I220" s="14">
        <f t="shared" si="19"/>
        <v>24193225</v>
      </c>
      <c r="J220" s="14">
        <f t="shared" si="17"/>
        <v>7257967.5</v>
      </c>
      <c r="K220" s="11">
        <f t="shared" si="18"/>
        <v>0.18673240265327601</v>
      </c>
    </row>
    <row r="221" spans="1:11" x14ac:dyDescent="0.3">
      <c r="A221" s="8" t="s">
        <v>227</v>
      </c>
      <c r="B221" s="8" t="s">
        <v>237</v>
      </c>
      <c r="C221" s="12" t="s">
        <v>7</v>
      </c>
      <c r="D221" s="10">
        <v>0.25</v>
      </c>
      <c r="E221" s="14">
        <v>66929200</v>
      </c>
      <c r="F221" s="14">
        <f t="shared" si="15"/>
        <v>20078760</v>
      </c>
      <c r="G221" s="14">
        <v>43059.92</v>
      </c>
      <c r="H221" s="14">
        <f t="shared" si="16"/>
        <v>12917.975999999999</v>
      </c>
      <c r="I221" s="14">
        <f t="shared" si="19"/>
        <v>16732300</v>
      </c>
      <c r="J221" s="14">
        <f t="shared" si="17"/>
        <v>5019690</v>
      </c>
      <c r="K221" s="11">
        <f t="shared" si="18"/>
        <v>0.12914617959843758</v>
      </c>
    </row>
    <row r="222" spans="1:11" x14ac:dyDescent="0.3">
      <c r="A222" s="8" t="s">
        <v>227</v>
      </c>
      <c r="B222" s="8" t="s">
        <v>238</v>
      </c>
      <c r="C222" s="12" t="s">
        <v>7</v>
      </c>
      <c r="D222" s="10">
        <v>0.25</v>
      </c>
      <c r="E222" s="14">
        <v>56565100</v>
      </c>
      <c r="F222" s="14">
        <f t="shared" si="15"/>
        <v>16969530</v>
      </c>
      <c r="G222" s="14">
        <v>23900.39</v>
      </c>
      <c r="H222" s="14">
        <f t="shared" si="16"/>
        <v>7170.1169999999993</v>
      </c>
      <c r="I222" s="14">
        <f t="shared" si="19"/>
        <v>14141275</v>
      </c>
      <c r="J222" s="14">
        <f t="shared" si="17"/>
        <v>4242382.5</v>
      </c>
      <c r="K222" s="11">
        <f t="shared" si="18"/>
        <v>0.10914767491025713</v>
      </c>
    </row>
    <row r="223" spans="1:11" x14ac:dyDescent="0.3">
      <c r="A223" s="8" t="s">
        <v>227</v>
      </c>
      <c r="B223" s="8" t="s">
        <v>239</v>
      </c>
      <c r="C223" s="12" t="s">
        <v>7</v>
      </c>
      <c r="D223" s="10">
        <v>0.25</v>
      </c>
      <c r="E223" s="14">
        <v>44320000</v>
      </c>
      <c r="F223" s="14">
        <f t="shared" si="15"/>
        <v>13296000</v>
      </c>
      <c r="G223" s="14">
        <v>37308</v>
      </c>
      <c r="H223" s="14">
        <f t="shared" si="16"/>
        <v>11192.4</v>
      </c>
      <c r="I223" s="14">
        <f t="shared" si="19"/>
        <v>11080000</v>
      </c>
      <c r="J223" s="14">
        <f t="shared" si="17"/>
        <v>3324000</v>
      </c>
      <c r="K223" s="11">
        <f t="shared" si="18"/>
        <v>8.5519603996503088E-2</v>
      </c>
    </row>
    <row r="224" spans="1:11" x14ac:dyDescent="0.3">
      <c r="A224" s="8" t="s">
        <v>227</v>
      </c>
      <c r="B224" s="8" t="s">
        <v>240</v>
      </c>
      <c r="C224" s="12" t="s">
        <v>7</v>
      </c>
      <c r="D224" s="10">
        <v>0.25</v>
      </c>
      <c r="E224" s="14">
        <v>38404350</v>
      </c>
      <c r="F224" s="14">
        <f t="shared" si="15"/>
        <v>11521305</v>
      </c>
      <c r="G224" s="14">
        <v>26337.83</v>
      </c>
      <c r="H224" s="14">
        <f t="shared" si="16"/>
        <v>7901.3490000000002</v>
      </c>
      <c r="I224" s="14">
        <f t="shared" si="19"/>
        <v>9601087.5</v>
      </c>
      <c r="J224" s="14">
        <f t="shared" si="17"/>
        <v>2880326.25</v>
      </c>
      <c r="K224" s="11">
        <f t="shared" si="18"/>
        <v>7.4104801528499617E-2</v>
      </c>
    </row>
    <row r="225" spans="1:11" x14ac:dyDescent="0.3">
      <c r="A225" s="8" t="s">
        <v>227</v>
      </c>
      <c r="B225" s="8" t="s">
        <v>241</v>
      </c>
      <c r="C225" s="12" t="s">
        <v>7</v>
      </c>
      <c r="D225" s="10">
        <v>0.25</v>
      </c>
      <c r="E225" s="14">
        <v>37364800</v>
      </c>
      <c r="F225" s="14">
        <f t="shared" si="15"/>
        <v>11209440</v>
      </c>
      <c r="G225" s="14">
        <v>26661.72</v>
      </c>
      <c r="H225" s="14">
        <f t="shared" si="16"/>
        <v>7998.5159999999996</v>
      </c>
      <c r="I225" s="14">
        <f t="shared" si="19"/>
        <v>9341200</v>
      </c>
      <c r="J225" s="14">
        <f t="shared" si="17"/>
        <v>2802360</v>
      </c>
      <c r="K225" s="11">
        <f t="shared" si="18"/>
        <v>7.209889213466919E-2</v>
      </c>
    </row>
    <row r="226" spans="1:11" x14ac:dyDescent="0.3">
      <c r="A226" s="8" t="s">
        <v>227</v>
      </c>
      <c r="B226" s="8" t="s">
        <v>242</v>
      </c>
      <c r="C226" s="12" t="s">
        <v>7</v>
      </c>
      <c r="D226" s="10">
        <v>0.25</v>
      </c>
      <c r="E226" s="14">
        <v>35253310</v>
      </c>
      <c r="F226" s="14">
        <f t="shared" si="15"/>
        <v>10575993</v>
      </c>
      <c r="G226" s="14">
        <v>18647.330000000002</v>
      </c>
      <c r="H226" s="14">
        <f t="shared" si="16"/>
        <v>5594.1990000000005</v>
      </c>
      <c r="I226" s="14">
        <f t="shared" si="19"/>
        <v>8813327.5</v>
      </c>
      <c r="J226" s="14">
        <f t="shared" si="17"/>
        <v>2643998.25</v>
      </c>
      <c r="K226" s="11">
        <f t="shared" si="18"/>
        <v>6.8024573798870988E-2</v>
      </c>
    </row>
    <row r="227" spans="1:11" x14ac:dyDescent="0.3">
      <c r="A227" s="8" t="s">
        <v>227</v>
      </c>
      <c r="B227" s="8" t="s">
        <v>214</v>
      </c>
      <c r="C227" s="12" t="s">
        <v>7</v>
      </c>
      <c r="D227" s="10">
        <v>0.25</v>
      </c>
      <c r="E227" s="14">
        <v>28045000</v>
      </c>
      <c r="F227" s="14">
        <f t="shared" si="15"/>
        <v>8413500</v>
      </c>
      <c r="G227" s="14">
        <v>34118.75</v>
      </c>
      <c r="H227" s="14">
        <f t="shared" si="16"/>
        <v>10235.625</v>
      </c>
      <c r="I227" s="14">
        <f t="shared" si="19"/>
        <v>7011250</v>
      </c>
      <c r="J227" s="14">
        <f t="shared" si="17"/>
        <v>2103375</v>
      </c>
      <c r="K227" s="11">
        <f t="shared" si="18"/>
        <v>5.4115462411595872E-2</v>
      </c>
    </row>
    <row r="228" spans="1:11" x14ac:dyDescent="0.3">
      <c r="A228" s="8" t="s">
        <v>227</v>
      </c>
      <c r="B228" s="8" t="s">
        <v>243</v>
      </c>
      <c r="C228" s="12" t="s">
        <v>7</v>
      </c>
      <c r="D228" s="10">
        <v>0.25</v>
      </c>
      <c r="E228" s="14">
        <v>19185670</v>
      </c>
      <c r="F228" s="14">
        <f t="shared" si="15"/>
        <v>5755701</v>
      </c>
      <c r="G228" s="14">
        <v>13835.51</v>
      </c>
      <c r="H228" s="14">
        <f t="shared" si="16"/>
        <v>4150.6530000000002</v>
      </c>
      <c r="I228" s="14">
        <f t="shared" si="19"/>
        <v>4796417.5</v>
      </c>
      <c r="J228" s="14">
        <f t="shared" si="17"/>
        <v>1438925.25</v>
      </c>
      <c r="K228" s="11">
        <f t="shared" si="18"/>
        <v>3.7020552816055714E-2</v>
      </c>
    </row>
    <row r="229" spans="1:11" x14ac:dyDescent="0.3">
      <c r="A229" s="8" t="s">
        <v>227</v>
      </c>
      <c r="B229" s="8" t="s">
        <v>244</v>
      </c>
      <c r="C229" s="12" t="s">
        <v>7</v>
      </c>
      <c r="D229" s="10">
        <v>0.25</v>
      </c>
      <c r="E229" s="14">
        <v>15425950</v>
      </c>
      <c r="F229" s="14">
        <f t="shared" si="15"/>
        <v>4627785</v>
      </c>
      <c r="G229" s="14">
        <v>18851.86</v>
      </c>
      <c r="H229" s="14">
        <f t="shared" si="16"/>
        <v>5655.558</v>
      </c>
      <c r="I229" s="14">
        <f t="shared" si="19"/>
        <v>3856487.5</v>
      </c>
      <c r="J229" s="14">
        <f t="shared" si="17"/>
        <v>1156946.25</v>
      </c>
      <c r="K229" s="11">
        <f t="shared" si="18"/>
        <v>2.9765819839121316E-2</v>
      </c>
    </row>
    <row r="230" spans="1:11" x14ac:dyDescent="0.3">
      <c r="A230" s="8" t="s">
        <v>227</v>
      </c>
      <c r="B230" s="8" t="s">
        <v>245</v>
      </c>
      <c r="C230" s="12" t="s">
        <v>7</v>
      </c>
      <c r="D230" s="10">
        <v>0.25</v>
      </c>
      <c r="E230" s="14">
        <v>14735150</v>
      </c>
      <c r="F230" s="14">
        <f t="shared" si="15"/>
        <v>4420545</v>
      </c>
      <c r="G230" s="14">
        <v>11004.08</v>
      </c>
      <c r="H230" s="14">
        <f t="shared" si="16"/>
        <v>3301.2239999999997</v>
      </c>
      <c r="I230" s="14">
        <f t="shared" si="19"/>
        <v>3683787.5</v>
      </c>
      <c r="J230" s="14">
        <f t="shared" si="17"/>
        <v>1105136.25</v>
      </c>
      <c r="K230" s="11">
        <f t="shared" si="18"/>
        <v>2.8432856336396039E-2</v>
      </c>
    </row>
    <row r="231" spans="1:11" x14ac:dyDescent="0.3">
      <c r="A231" s="8" t="s">
        <v>227</v>
      </c>
      <c r="B231" s="8" t="s">
        <v>246</v>
      </c>
      <c r="C231" s="12" t="s">
        <v>7</v>
      </c>
      <c r="D231" s="10">
        <v>0.25</v>
      </c>
      <c r="E231" s="14">
        <v>10675000</v>
      </c>
      <c r="F231" s="14">
        <f t="shared" si="15"/>
        <v>3202500</v>
      </c>
      <c r="G231" s="14">
        <v>8170</v>
      </c>
      <c r="H231" s="14">
        <f t="shared" si="16"/>
        <v>2451</v>
      </c>
      <c r="I231" s="14">
        <f t="shared" si="19"/>
        <v>2668750</v>
      </c>
      <c r="J231" s="14">
        <f t="shared" si="17"/>
        <v>800625</v>
      </c>
      <c r="K231" s="11">
        <f t="shared" si="18"/>
        <v>2.0598415448164945E-2</v>
      </c>
    </row>
    <row r="232" spans="1:11" x14ac:dyDescent="0.3">
      <c r="A232" s="8" t="s">
        <v>227</v>
      </c>
      <c r="B232" s="8" t="s">
        <v>247</v>
      </c>
      <c r="C232" s="12" t="s">
        <v>7</v>
      </c>
      <c r="D232" s="10">
        <v>0.25</v>
      </c>
      <c r="E232" s="14">
        <v>10500000</v>
      </c>
      <c r="F232" s="14">
        <f t="shared" si="15"/>
        <v>3150000</v>
      </c>
      <c r="G232" s="14">
        <v>7500</v>
      </c>
      <c r="H232" s="14">
        <f t="shared" si="16"/>
        <v>2250</v>
      </c>
      <c r="I232" s="14">
        <f t="shared" si="19"/>
        <v>2625000</v>
      </c>
      <c r="J232" s="14">
        <f t="shared" si="17"/>
        <v>787500</v>
      </c>
      <c r="K232" s="11">
        <f t="shared" si="18"/>
        <v>2.0260736506391749E-2</v>
      </c>
    </row>
    <row r="233" spans="1:11" x14ac:dyDescent="0.3">
      <c r="A233" s="8" t="s">
        <v>227</v>
      </c>
      <c r="B233" s="8" t="s">
        <v>248</v>
      </c>
      <c r="C233" s="12" t="s">
        <v>7</v>
      </c>
      <c r="D233" s="10">
        <v>0.25</v>
      </c>
      <c r="E233" s="14">
        <v>9872800</v>
      </c>
      <c r="F233" s="14">
        <f t="shared" si="15"/>
        <v>2961840</v>
      </c>
      <c r="G233" s="14">
        <v>3208.66</v>
      </c>
      <c r="H233" s="14">
        <f t="shared" si="16"/>
        <v>962.59799999999996</v>
      </c>
      <c r="I233" s="14">
        <f t="shared" si="19"/>
        <v>2468200</v>
      </c>
      <c r="J233" s="14">
        <f t="shared" si="17"/>
        <v>740460</v>
      </c>
      <c r="K233" s="11">
        <f t="shared" si="18"/>
        <v>1.9050495179076615E-2</v>
      </c>
    </row>
    <row r="234" spans="1:11" x14ac:dyDescent="0.3">
      <c r="A234" s="8" t="s">
        <v>227</v>
      </c>
      <c r="B234" s="8" t="s">
        <v>249</v>
      </c>
      <c r="C234" s="12" t="s">
        <v>7</v>
      </c>
      <c r="D234" s="10">
        <v>0.25</v>
      </c>
      <c r="E234" s="14">
        <v>9391050</v>
      </c>
      <c r="F234" s="14">
        <f t="shared" si="15"/>
        <v>2817315</v>
      </c>
      <c r="G234" s="14">
        <v>20800</v>
      </c>
      <c r="H234" s="14">
        <f t="shared" si="16"/>
        <v>6240</v>
      </c>
      <c r="I234" s="14">
        <f t="shared" si="19"/>
        <v>2347762.5</v>
      </c>
      <c r="J234" s="14">
        <f t="shared" si="17"/>
        <v>704328.75</v>
      </c>
      <c r="K234" s="11">
        <f t="shared" si="18"/>
        <v>1.8120913292223834E-2</v>
      </c>
    </row>
    <row r="235" spans="1:11" x14ac:dyDescent="0.3">
      <c r="A235" s="8" t="s">
        <v>227</v>
      </c>
      <c r="B235" s="8" t="s">
        <v>250</v>
      </c>
      <c r="C235" s="12" t="s">
        <v>7</v>
      </c>
      <c r="D235" s="10">
        <v>0.25</v>
      </c>
      <c r="E235" s="14">
        <v>9350000</v>
      </c>
      <c r="F235" s="14">
        <f t="shared" si="15"/>
        <v>2805000</v>
      </c>
      <c r="G235" s="14">
        <v>7928.5</v>
      </c>
      <c r="H235" s="14">
        <f t="shared" si="16"/>
        <v>2378.5499999999997</v>
      </c>
      <c r="I235" s="14">
        <f t="shared" si="19"/>
        <v>2337500</v>
      </c>
      <c r="J235" s="14">
        <f t="shared" si="17"/>
        <v>701250</v>
      </c>
      <c r="K235" s="11">
        <f t="shared" si="18"/>
        <v>1.8041703460453605E-2</v>
      </c>
    </row>
    <row r="236" spans="1:11" x14ac:dyDescent="0.3">
      <c r="A236" s="8" t="s">
        <v>227</v>
      </c>
      <c r="B236" s="8" t="s">
        <v>251</v>
      </c>
      <c r="C236" s="12" t="s">
        <v>7</v>
      </c>
      <c r="D236" s="10">
        <v>0.25</v>
      </c>
      <c r="E236" s="14">
        <v>7040000</v>
      </c>
      <c r="F236" s="14">
        <f t="shared" si="15"/>
        <v>2112000</v>
      </c>
      <c r="G236" s="14">
        <v>5776</v>
      </c>
      <c r="H236" s="14">
        <f t="shared" si="16"/>
        <v>1732.8</v>
      </c>
      <c r="I236" s="14">
        <f t="shared" si="19"/>
        <v>1760000</v>
      </c>
      <c r="J236" s="14">
        <f t="shared" si="17"/>
        <v>528000</v>
      </c>
      <c r="K236" s="11">
        <f t="shared" si="18"/>
        <v>1.3584341429047421E-2</v>
      </c>
    </row>
    <row r="237" spans="1:11" x14ac:dyDescent="0.3">
      <c r="A237" s="8" t="s">
        <v>227</v>
      </c>
      <c r="B237" s="8" t="s">
        <v>252</v>
      </c>
      <c r="C237" s="12" t="s">
        <v>7</v>
      </c>
      <c r="D237" s="10">
        <v>0.25</v>
      </c>
      <c r="E237" s="14">
        <v>7001380</v>
      </c>
      <c r="F237" s="14">
        <f t="shared" si="15"/>
        <v>2100414</v>
      </c>
      <c r="G237" s="14">
        <v>7675</v>
      </c>
      <c r="H237" s="14">
        <f t="shared" si="16"/>
        <v>2302.5</v>
      </c>
      <c r="I237" s="14">
        <f t="shared" si="19"/>
        <v>1750345</v>
      </c>
      <c r="J237" s="14">
        <f t="shared" si="17"/>
        <v>525103.5</v>
      </c>
      <c r="K237" s="11">
        <f t="shared" si="18"/>
        <v>1.3509820510582958E-2</v>
      </c>
    </row>
    <row r="238" spans="1:11" x14ac:dyDescent="0.3">
      <c r="A238" s="8" t="s">
        <v>227</v>
      </c>
      <c r="B238" s="8" t="s">
        <v>253</v>
      </c>
      <c r="C238" s="12" t="s">
        <v>7</v>
      </c>
      <c r="D238" s="10">
        <v>0.25</v>
      </c>
      <c r="E238" s="14">
        <v>6685000</v>
      </c>
      <c r="F238" s="14">
        <f t="shared" si="15"/>
        <v>2005500</v>
      </c>
      <c r="G238" s="14">
        <v>7500</v>
      </c>
      <c r="H238" s="14">
        <f t="shared" si="16"/>
        <v>2250</v>
      </c>
      <c r="I238" s="14">
        <f t="shared" si="19"/>
        <v>1671250</v>
      </c>
      <c r="J238" s="14">
        <f t="shared" si="17"/>
        <v>501375</v>
      </c>
      <c r="K238" s="11">
        <f t="shared" si="18"/>
        <v>1.289933557573608E-2</v>
      </c>
    </row>
    <row r="239" spans="1:11" x14ac:dyDescent="0.3">
      <c r="A239" s="8" t="s">
        <v>227</v>
      </c>
      <c r="B239" s="8" t="s">
        <v>254</v>
      </c>
      <c r="C239" s="12" t="s">
        <v>7</v>
      </c>
      <c r="D239" s="10">
        <v>0.25</v>
      </c>
      <c r="E239" s="14">
        <v>6468000</v>
      </c>
      <c r="F239" s="14">
        <f t="shared" si="15"/>
        <v>1940400</v>
      </c>
      <c r="G239" s="14">
        <v>5411.2</v>
      </c>
      <c r="H239" s="14">
        <f t="shared" si="16"/>
        <v>1623.36</v>
      </c>
      <c r="I239" s="14">
        <f t="shared" si="19"/>
        <v>1617000</v>
      </c>
      <c r="J239" s="14">
        <f t="shared" si="17"/>
        <v>485100</v>
      </c>
      <c r="K239" s="11">
        <f t="shared" si="18"/>
        <v>1.2480613687937318E-2</v>
      </c>
    </row>
    <row r="240" spans="1:11" x14ac:dyDescent="0.3">
      <c r="A240" s="8" t="s">
        <v>227</v>
      </c>
      <c r="B240" s="8" t="s">
        <v>255</v>
      </c>
      <c r="C240" s="12" t="s">
        <v>7</v>
      </c>
      <c r="D240" s="10">
        <v>0.25</v>
      </c>
      <c r="E240" s="14">
        <v>6000000</v>
      </c>
      <c r="F240" s="14">
        <f t="shared" si="15"/>
        <v>1800000</v>
      </c>
      <c r="G240" s="14">
        <v>15000</v>
      </c>
      <c r="H240" s="14">
        <f t="shared" si="16"/>
        <v>4500</v>
      </c>
      <c r="I240" s="14">
        <f t="shared" si="19"/>
        <v>1500000</v>
      </c>
      <c r="J240" s="14">
        <f t="shared" si="17"/>
        <v>450000</v>
      </c>
      <c r="K240" s="11">
        <f t="shared" si="18"/>
        <v>1.1577563717938142E-2</v>
      </c>
    </row>
    <row r="241" spans="1:11" x14ac:dyDescent="0.3">
      <c r="A241" s="8" t="s">
        <v>227</v>
      </c>
      <c r="B241" s="8" t="s">
        <v>256</v>
      </c>
      <c r="C241" s="12" t="s">
        <v>7</v>
      </c>
      <c r="D241" s="10">
        <v>0.25</v>
      </c>
      <c r="E241" s="14">
        <v>4000000</v>
      </c>
      <c r="F241" s="14">
        <f t="shared" si="15"/>
        <v>1200000</v>
      </c>
      <c r="G241" s="14">
        <v>2500</v>
      </c>
      <c r="H241" s="14">
        <f t="shared" si="16"/>
        <v>750</v>
      </c>
      <c r="I241" s="14">
        <f t="shared" si="19"/>
        <v>1000000</v>
      </c>
      <c r="J241" s="14">
        <f t="shared" si="17"/>
        <v>300000</v>
      </c>
      <c r="K241" s="11">
        <f t="shared" si="18"/>
        <v>7.7183758119587619E-3</v>
      </c>
    </row>
    <row r="242" spans="1:11" x14ac:dyDescent="0.3">
      <c r="A242" s="8" t="s">
        <v>227</v>
      </c>
      <c r="B242" s="8" t="s">
        <v>257</v>
      </c>
      <c r="C242" s="12" t="s">
        <v>7</v>
      </c>
      <c r="D242" s="10">
        <v>0.25</v>
      </c>
      <c r="E242" s="14">
        <v>3500000</v>
      </c>
      <c r="F242" s="14">
        <f t="shared" si="15"/>
        <v>1050000</v>
      </c>
      <c r="G242" s="14">
        <v>2500</v>
      </c>
      <c r="H242" s="14">
        <f t="shared" si="16"/>
        <v>750</v>
      </c>
      <c r="I242" s="14">
        <f t="shared" si="19"/>
        <v>875000</v>
      </c>
      <c r="J242" s="14">
        <f t="shared" si="17"/>
        <v>262500</v>
      </c>
      <c r="K242" s="11">
        <f t="shared" si="18"/>
        <v>6.7535788354639165E-3</v>
      </c>
    </row>
    <row r="243" spans="1:11" x14ac:dyDescent="0.3">
      <c r="A243" s="8" t="s">
        <v>227</v>
      </c>
      <c r="B243" s="8" t="s">
        <v>258</v>
      </c>
      <c r="C243" s="12" t="s">
        <v>7</v>
      </c>
      <c r="D243" s="10">
        <v>0.25</v>
      </c>
      <c r="E243" s="14">
        <v>3045000</v>
      </c>
      <c r="F243" s="14">
        <f t="shared" si="15"/>
        <v>913500</v>
      </c>
      <c r="G243" s="14">
        <v>1979.25</v>
      </c>
      <c r="H243" s="14">
        <f t="shared" si="16"/>
        <v>593.77499999999998</v>
      </c>
      <c r="I243" s="14">
        <f t="shared" si="19"/>
        <v>761250</v>
      </c>
      <c r="J243" s="14">
        <f t="shared" si="17"/>
        <v>228375</v>
      </c>
      <c r="K243" s="11">
        <f t="shared" si="18"/>
        <v>5.8756135868536074E-3</v>
      </c>
    </row>
    <row r="244" spans="1:11" x14ac:dyDescent="0.3">
      <c r="A244" s="8" t="s">
        <v>227</v>
      </c>
      <c r="B244" s="8" t="s">
        <v>259</v>
      </c>
      <c r="C244" s="12" t="s">
        <v>7</v>
      </c>
      <c r="D244" s="10">
        <v>0.25</v>
      </c>
      <c r="E244" s="14">
        <v>2000000</v>
      </c>
      <c r="F244" s="14">
        <f t="shared" si="15"/>
        <v>600000</v>
      </c>
      <c r="G244" s="14">
        <v>5000</v>
      </c>
      <c r="H244" s="14">
        <f t="shared" si="16"/>
        <v>1500</v>
      </c>
      <c r="I244" s="14">
        <f t="shared" si="19"/>
        <v>500000</v>
      </c>
      <c r="J244" s="14">
        <f t="shared" si="17"/>
        <v>150000</v>
      </c>
      <c r="K244" s="11">
        <f t="shared" si="18"/>
        <v>3.859187905979381E-3</v>
      </c>
    </row>
    <row r="245" spans="1:11" x14ac:dyDescent="0.3">
      <c r="A245" s="8" t="s">
        <v>227</v>
      </c>
      <c r="B245" s="8" t="s">
        <v>260</v>
      </c>
      <c r="C245" s="12" t="s">
        <v>7</v>
      </c>
      <c r="D245" s="10">
        <v>0.25</v>
      </c>
      <c r="E245" s="14">
        <v>2000000</v>
      </c>
      <c r="F245" s="14">
        <f t="shared" si="15"/>
        <v>600000</v>
      </c>
      <c r="G245" s="14">
        <v>2500</v>
      </c>
      <c r="H245" s="14">
        <f t="shared" si="16"/>
        <v>750</v>
      </c>
      <c r="I245" s="14">
        <f t="shared" si="19"/>
        <v>500000</v>
      </c>
      <c r="J245" s="14">
        <f t="shared" si="17"/>
        <v>150000</v>
      </c>
      <c r="K245" s="11">
        <f t="shared" si="18"/>
        <v>3.859187905979381E-3</v>
      </c>
    </row>
    <row r="246" spans="1:11" x14ac:dyDescent="0.3">
      <c r="A246" s="8" t="s">
        <v>227</v>
      </c>
      <c r="B246" s="8" t="s">
        <v>261</v>
      </c>
      <c r="C246" s="12" t="s">
        <v>7</v>
      </c>
      <c r="D246" s="10">
        <v>0.25</v>
      </c>
      <c r="E246" s="14">
        <v>1400000</v>
      </c>
      <c r="F246" s="14">
        <f t="shared" si="15"/>
        <v>420000</v>
      </c>
      <c r="G246" s="14">
        <v>1800</v>
      </c>
      <c r="H246" s="14">
        <f t="shared" si="16"/>
        <v>540</v>
      </c>
      <c r="I246" s="14">
        <f t="shared" si="19"/>
        <v>350000</v>
      </c>
      <c r="J246" s="14">
        <f t="shared" si="17"/>
        <v>105000</v>
      </c>
      <c r="K246" s="11">
        <f t="shared" si="18"/>
        <v>2.7014315341855667E-3</v>
      </c>
    </row>
    <row r="247" spans="1:11" x14ac:dyDescent="0.3">
      <c r="A247" s="8" t="s">
        <v>278</v>
      </c>
      <c r="B247" s="8" t="s">
        <v>278</v>
      </c>
      <c r="C247" s="12" t="s">
        <v>7</v>
      </c>
      <c r="D247" s="10">
        <v>0.25</v>
      </c>
      <c r="E247" s="14">
        <v>9662246675.0400009</v>
      </c>
      <c r="F247" s="14">
        <f t="shared" si="15"/>
        <v>2898674002.5120001</v>
      </c>
      <c r="G247" s="14">
        <v>3121256.49</v>
      </c>
      <c r="H247" s="14">
        <f t="shared" si="16"/>
        <v>936376.94700000004</v>
      </c>
      <c r="I247" s="14">
        <f t="shared" si="19"/>
        <v>2415561668.7600002</v>
      </c>
      <c r="J247" s="14">
        <f t="shared" si="17"/>
        <v>724668500.62800002</v>
      </c>
      <c r="K247" s="11">
        <f t="shared" si="18"/>
        <v>18.644212756451928</v>
      </c>
    </row>
    <row r="248" spans="1:11" x14ac:dyDescent="0.3">
      <c r="A248" s="8" t="s">
        <v>278</v>
      </c>
      <c r="B248" s="8" t="s">
        <v>279</v>
      </c>
      <c r="C248" s="12" t="s">
        <v>7</v>
      </c>
      <c r="D248" s="10">
        <v>0.25</v>
      </c>
      <c r="E248" s="14">
        <v>2083064140.9000001</v>
      </c>
      <c r="F248" s="14">
        <f t="shared" si="15"/>
        <v>624919242.26999998</v>
      </c>
      <c r="G248" s="14">
        <v>1246826.31</v>
      </c>
      <c r="H248" s="14">
        <f t="shared" si="16"/>
        <v>374047.89299999998</v>
      </c>
      <c r="I248" s="14">
        <f t="shared" si="19"/>
        <v>520766035.22500002</v>
      </c>
      <c r="J248" s="14">
        <f t="shared" si="17"/>
        <v>156229810.5675</v>
      </c>
      <c r="K248" s="11">
        <f t="shared" si="18"/>
        <v>4.0194679699703046</v>
      </c>
    </row>
    <row r="249" spans="1:11" x14ac:dyDescent="0.3">
      <c r="A249" s="8" t="s">
        <v>278</v>
      </c>
      <c r="B249" s="8" t="s">
        <v>280</v>
      </c>
      <c r="C249" s="12" t="s">
        <v>7</v>
      </c>
      <c r="D249" s="10">
        <v>0.25</v>
      </c>
      <c r="E249" s="14">
        <v>820892683</v>
      </c>
      <c r="F249" s="14">
        <f t="shared" si="15"/>
        <v>246267804.89999998</v>
      </c>
      <c r="G249" s="14">
        <v>719459.32</v>
      </c>
      <c r="H249" s="14">
        <f t="shared" si="16"/>
        <v>215837.79599999997</v>
      </c>
      <c r="I249" s="14">
        <f t="shared" si="19"/>
        <v>205223170.75</v>
      </c>
      <c r="J249" s="14">
        <f t="shared" si="17"/>
        <v>61566951.224999994</v>
      </c>
      <c r="K249" s="11">
        <f t="shared" si="18"/>
        <v>1.5839895571702827</v>
      </c>
    </row>
    <row r="250" spans="1:11" x14ac:dyDescent="0.3">
      <c r="A250" s="8" t="s">
        <v>278</v>
      </c>
      <c r="B250" s="8" t="s">
        <v>281</v>
      </c>
      <c r="C250" s="12" t="s">
        <v>7</v>
      </c>
      <c r="D250" s="10">
        <v>0.25</v>
      </c>
      <c r="E250" s="14">
        <v>530732110</v>
      </c>
      <c r="F250" s="14">
        <f t="shared" si="15"/>
        <v>159219633</v>
      </c>
      <c r="G250" s="14">
        <v>359181.2</v>
      </c>
      <c r="H250" s="14">
        <f t="shared" si="16"/>
        <v>107754.36</v>
      </c>
      <c r="I250" s="14">
        <f t="shared" si="19"/>
        <v>132683027.5</v>
      </c>
      <c r="J250" s="14">
        <f t="shared" si="17"/>
        <v>39804908.25</v>
      </c>
      <c r="K250" s="11">
        <f t="shared" si="18"/>
        <v>1.0240974701134593</v>
      </c>
    </row>
    <row r="251" spans="1:11" x14ac:dyDescent="0.3">
      <c r="A251" s="8" t="s">
        <v>278</v>
      </c>
      <c r="B251" s="8" t="s">
        <v>282</v>
      </c>
      <c r="C251" s="12" t="s">
        <v>7</v>
      </c>
      <c r="D251" s="10">
        <v>0.25</v>
      </c>
      <c r="E251" s="14">
        <v>352927388.95999998</v>
      </c>
      <c r="F251" s="14">
        <f t="shared" si="15"/>
        <v>105878216.68799999</v>
      </c>
      <c r="G251" s="14">
        <v>253420.34400000001</v>
      </c>
      <c r="H251" s="14">
        <f t="shared" si="16"/>
        <v>76026.103199999998</v>
      </c>
      <c r="I251" s="14">
        <f t="shared" si="19"/>
        <v>88231847.239999995</v>
      </c>
      <c r="J251" s="14">
        <f t="shared" si="17"/>
        <v>26469554.171999998</v>
      </c>
      <c r="K251" s="11">
        <f t="shared" si="18"/>
        <v>0.68100655558165635</v>
      </c>
    </row>
    <row r="252" spans="1:11" x14ac:dyDescent="0.3">
      <c r="A252" s="8" t="s">
        <v>278</v>
      </c>
      <c r="B252" s="8" t="s">
        <v>283</v>
      </c>
      <c r="C252" s="12" t="s">
        <v>7</v>
      </c>
      <c r="D252" s="10">
        <v>0.25</v>
      </c>
      <c r="E252" s="14">
        <v>152109170</v>
      </c>
      <c r="F252" s="14">
        <f t="shared" si="15"/>
        <v>45632751</v>
      </c>
      <c r="G252" s="14">
        <v>56470.34</v>
      </c>
      <c r="H252" s="14">
        <f t="shared" si="16"/>
        <v>16941.101999999999</v>
      </c>
      <c r="I252" s="14">
        <f t="shared" si="19"/>
        <v>38027292.5</v>
      </c>
      <c r="J252" s="14">
        <f t="shared" si="17"/>
        <v>11408187.75</v>
      </c>
      <c r="K252" s="11">
        <f t="shared" si="18"/>
        <v>0.29350893462628086</v>
      </c>
    </row>
    <row r="253" spans="1:11" x14ac:dyDescent="0.3">
      <c r="A253" s="8" t="s">
        <v>278</v>
      </c>
      <c r="B253" s="8" t="s">
        <v>284</v>
      </c>
      <c r="C253" s="12" t="s">
        <v>7</v>
      </c>
      <c r="D253" s="10">
        <v>0.25</v>
      </c>
      <c r="E253" s="14">
        <v>119432830</v>
      </c>
      <c r="F253" s="14">
        <f t="shared" si="15"/>
        <v>35829849</v>
      </c>
      <c r="G253" s="14">
        <v>117942.973</v>
      </c>
      <c r="H253" s="14">
        <f t="shared" si="16"/>
        <v>35382.891899999995</v>
      </c>
      <c r="I253" s="14">
        <f t="shared" si="19"/>
        <v>29858207.5</v>
      </c>
      <c r="J253" s="14">
        <f t="shared" si="17"/>
        <v>8957462.25</v>
      </c>
      <c r="K253" s="11">
        <f t="shared" si="18"/>
        <v>0.23045686655644571</v>
      </c>
    </row>
    <row r="254" spans="1:11" x14ac:dyDescent="0.3">
      <c r="A254" s="8" t="s">
        <v>278</v>
      </c>
      <c r="B254" s="8" t="s">
        <v>285</v>
      </c>
      <c r="C254" s="12" t="s">
        <v>7</v>
      </c>
      <c r="D254" s="10">
        <v>0.25</v>
      </c>
      <c r="E254" s="14">
        <v>51110000</v>
      </c>
      <c r="F254" s="14">
        <f t="shared" si="15"/>
        <v>15333000</v>
      </c>
      <c r="G254" s="14">
        <v>33767.25</v>
      </c>
      <c r="H254" s="14">
        <f t="shared" si="16"/>
        <v>10130.174999999999</v>
      </c>
      <c r="I254" s="14">
        <f t="shared" si="19"/>
        <v>12777500</v>
      </c>
      <c r="J254" s="14">
        <f t="shared" si="17"/>
        <v>3833250</v>
      </c>
      <c r="K254" s="11">
        <f t="shared" si="18"/>
        <v>9.8621546937303073E-2</v>
      </c>
    </row>
    <row r="255" spans="1:11" x14ac:dyDescent="0.3">
      <c r="A255" s="8" t="s">
        <v>278</v>
      </c>
      <c r="B255" s="8" t="s">
        <v>286</v>
      </c>
      <c r="C255" s="12" t="s">
        <v>7</v>
      </c>
      <c r="D255" s="10">
        <v>0.25</v>
      </c>
      <c r="E255" s="14">
        <v>27410000</v>
      </c>
      <c r="F255" s="14">
        <f t="shared" si="15"/>
        <v>8223000</v>
      </c>
      <c r="G255" s="14">
        <v>15784.5</v>
      </c>
      <c r="H255" s="14">
        <f t="shared" si="16"/>
        <v>4735.3499999999995</v>
      </c>
      <c r="I255" s="14">
        <f t="shared" si="19"/>
        <v>6852500</v>
      </c>
      <c r="J255" s="14">
        <f t="shared" si="17"/>
        <v>2055750</v>
      </c>
      <c r="K255" s="11">
        <f t="shared" si="18"/>
        <v>5.2890170251447419E-2</v>
      </c>
    </row>
    <row r="256" spans="1:11" x14ac:dyDescent="0.3">
      <c r="A256" s="8" t="s">
        <v>278</v>
      </c>
      <c r="B256" s="8" t="s">
        <v>287</v>
      </c>
      <c r="C256" s="12" t="s">
        <v>7</v>
      </c>
      <c r="D256" s="10">
        <v>0.25</v>
      </c>
      <c r="E256" s="14">
        <v>15400000</v>
      </c>
      <c r="F256" s="14">
        <f t="shared" si="15"/>
        <v>4620000</v>
      </c>
      <c r="G256" s="14">
        <v>12080</v>
      </c>
      <c r="H256" s="14">
        <f t="shared" si="16"/>
        <v>3624</v>
      </c>
      <c r="I256" s="14">
        <f t="shared" si="19"/>
        <v>3850000</v>
      </c>
      <c r="J256" s="14">
        <f t="shared" si="17"/>
        <v>1155000</v>
      </c>
      <c r="K256" s="11">
        <f t="shared" si="18"/>
        <v>2.9715746876041234E-2</v>
      </c>
    </row>
    <row r="257" spans="1:11" x14ac:dyDescent="0.3">
      <c r="A257" s="8" t="s">
        <v>303</v>
      </c>
      <c r="B257" s="8" t="s">
        <v>303</v>
      </c>
      <c r="C257" s="12" t="s">
        <v>7</v>
      </c>
      <c r="D257" s="10">
        <v>0.25</v>
      </c>
      <c r="E257" s="14">
        <v>60045160</v>
      </c>
      <c r="F257" s="14">
        <f t="shared" si="15"/>
        <v>18013548</v>
      </c>
      <c r="G257" s="14">
        <v>33965</v>
      </c>
      <c r="H257" s="14">
        <f t="shared" si="16"/>
        <v>10189.5</v>
      </c>
      <c r="I257" s="14">
        <f t="shared" si="19"/>
        <v>15011290</v>
      </c>
      <c r="J257" s="14">
        <f t="shared" si="17"/>
        <v>4503387</v>
      </c>
      <c r="K257" s="11">
        <f t="shared" si="18"/>
        <v>0.11586277764229844</v>
      </c>
    </row>
    <row r="258" spans="1:11" x14ac:dyDescent="0.3">
      <c r="A258" s="8" t="s">
        <v>303</v>
      </c>
      <c r="B258" s="8" t="s">
        <v>304</v>
      </c>
      <c r="C258" s="12" t="s">
        <v>7</v>
      </c>
      <c r="D258" s="10">
        <v>0.25</v>
      </c>
      <c r="E258" s="14">
        <v>7000000</v>
      </c>
      <c r="F258" s="14">
        <f t="shared" si="15"/>
        <v>2100000</v>
      </c>
      <c r="G258" s="14">
        <v>2275</v>
      </c>
      <c r="H258" s="14">
        <f t="shared" si="16"/>
        <v>682.5</v>
      </c>
      <c r="I258" s="14">
        <f t="shared" si="19"/>
        <v>1750000</v>
      </c>
      <c r="J258" s="14">
        <f t="shared" si="17"/>
        <v>525000</v>
      </c>
      <c r="K258" s="11">
        <f t="shared" si="18"/>
        <v>1.3507157670927833E-2</v>
      </c>
    </row>
    <row r="259" spans="1:11" x14ac:dyDescent="0.3">
      <c r="A259" s="8" t="s">
        <v>303</v>
      </c>
      <c r="B259" s="8" t="s">
        <v>305</v>
      </c>
      <c r="C259" s="12" t="s">
        <v>7</v>
      </c>
      <c r="D259" s="10">
        <v>0.25</v>
      </c>
      <c r="E259" s="14">
        <v>4528350</v>
      </c>
      <c r="F259" s="14">
        <f t="shared" si="15"/>
        <v>1358505</v>
      </c>
      <c r="G259" s="14">
        <v>4793.43</v>
      </c>
      <c r="H259" s="14">
        <f t="shared" si="16"/>
        <v>1438.029</v>
      </c>
      <c r="I259" s="14">
        <f t="shared" si="19"/>
        <v>1132087.5</v>
      </c>
      <c r="J259" s="14">
        <f t="shared" si="17"/>
        <v>339626.25</v>
      </c>
      <c r="K259" s="11">
        <f t="shared" si="18"/>
        <v>8.7378767770208646E-3</v>
      </c>
    </row>
    <row r="260" spans="1:11" x14ac:dyDescent="0.3">
      <c r="A260" s="8" t="s">
        <v>306</v>
      </c>
      <c r="B260" s="8" t="s">
        <v>307</v>
      </c>
      <c r="C260" s="12" t="s">
        <v>7</v>
      </c>
      <c r="D260" s="10">
        <v>0.25</v>
      </c>
      <c r="E260" s="14">
        <v>1627693720</v>
      </c>
      <c r="F260" s="14">
        <f t="shared" ref="F260:F323" si="20">E260*0.3</f>
        <v>488308116</v>
      </c>
      <c r="G260" s="14">
        <v>1454916.54</v>
      </c>
      <c r="H260" s="14">
        <f t="shared" ref="H260:H323" si="21">G260*0.3</f>
        <v>436474.962</v>
      </c>
      <c r="I260" s="14">
        <f t="shared" si="19"/>
        <v>406923430</v>
      </c>
      <c r="J260" s="14">
        <f t="shared" ref="J260:J323" si="22">I260*0.3</f>
        <v>122077029</v>
      </c>
      <c r="K260" s="11">
        <f t="shared" ref="K260:K323" si="23">J260/$H$587</f>
        <v>3.1407879594312944</v>
      </c>
    </row>
    <row r="261" spans="1:11" x14ac:dyDescent="0.3">
      <c r="A261" s="8" t="s">
        <v>306</v>
      </c>
      <c r="B261" s="8" t="s">
        <v>308</v>
      </c>
      <c r="C261" s="12" t="s">
        <v>7</v>
      </c>
      <c r="D261" s="10">
        <v>0.25</v>
      </c>
      <c r="E261" s="14">
        <v>395885670</v>
      </c>
      <c r="F261" s="14">
        <f t="shared" si="20"/>
        <v>118765701</v>
      </c>
      <c r="G261" s="14">
        <v>308161.84000000003</v>
      </c>
      <c r="H261" s="14">
        <f t="shared" si="21"/>
        <v>92448.552000000011</v>
      </c>
      <c r="I261" s="14">
        <f t="shared" si="19"/>
        <v>98971417.5</v>
      </c>
      <c r="J261" s="14">
        <f t="shared" si="22"/>
        <v>29691425.25</v>
      </c>
      <c r="K261" s="11">
        <f t="shared" si="23"/>
        <v>0.76389859490727208</v>
      </c>
    </row>
    <row r="262" spans="1:11" x14ac:dyDescent="0.3">
      <c r="A262" s="8" t="s">
        <v>306</v>
      </c>
      <c r="B262" s="8" t="s">
        <v>306</v>
      </c>
      <c r="C262" s="12" t="s">
        <v>7</v>
      </c>
      <c r="D262" s="10">
        <v>0.25</v>
      </c>
      <c r="E262" s="14">
        <v>245147310</v>
      </c>
      <c r="F262" s="14">
        <f t="shared" si="20"/>
        <v>73544193</v>
      </c>
      <c r="G262" s="14">
        <v>180006.04</v>
      </c>
      <c r="H262" s="14">
        <f t="shared" si="21"/>
        <v>54001.811999999998</v>
      </c>
      <c r="I262" s="14">
        <f t="shared" ref="I262:I325" si="24">E262*D262</f>
        <v>61286827.5</v>
      </c>
      <c r="J262" s="14">
        <f t="shared" si="22"/>
        <v>18386048.25</v>
      </c>
      <c r="K262" s="11">
        <f t="shared" si="23"/>
        <v>0.47303476696768909</v>
      </c>
    </row>
    <row r="263" spans="1:11" x14ac:dyDescent="0.3">
      <c r="A263" s="8" t="s">
        <v>306</v>
      </c>
      <c r="B263" s="8" t="s">
        <v>309</v>
      </c>
      <c r="C263" s="12" t="s">
        <v>7</v>
      </c>
      <c r="D263" s="10">
        <v>0.25</v>
      </c>
      <c r="E263" s="14">
        <v>147229600</v>
      </c>
      <c r="F263" s="14">
        <f t="shared" si="20"/>
        <v>44168880</v>
      </c>
      <c r="G263" s="14">
        <v>126611.77</v>
      </c>
      <c r="H263" s="14">
        <f t="shared" si="21"/>
        <v>37983.531000000003</v>
      </c>
      <c r="I263" s="14">
        <f t="shared" si="24"/>
        <v>36807400</v>
      </c>
      <c r="J263" s="14">
        <f t="shared" si="22"/>
        <v>11042220</v>
      </c>
      <c r="K263" s="11">
        <f t="shared" si="23"/>
        <v>0.28409334586109092</v>
      </c>
    </row>
    <row r="264" spans="1:11" x14ac:dyDescent="0.3">
      <c r="A264" s="8" t="s">
        <v>306</v>
      </c>
      <c r="B264" s="8" t="s">
        <v>310</v>
      </c>
      <c r="C264" s="12" t="s">
        <v>7</v>
      </c>
      <c r="D264" s="10">
        <v>0.25</v>
      </c>
      <c r="E264" s="14">
        <v>145699880</v>
      </c>
      <c r="F264" s="14">
        <f t="shared" si="20"/>
        <v>43709964</v>
      </c>
      <c r="G264" s="14">
        <v>130180.77</v>
      </c>
      <c r="H264" s="14">
        <f t="shared" si="21"/>
        <v>39054.231</v>
      </c>
      <c r="I264" s="14">
        <f t="shared" si="24"/>
        <v>36424970</v>
      </c>
      <c r="J264" s="14">
        <f t="shared" si="22"/>
        <v>10927491</v>
      </c>
      <c r="K264" s="11">
        <f t="shared" si="23"/>
        <v>0.28114160739932353</v>
      </c>
    </row>
    <row r="265" spans="1:11" x14ac:dyDescent="0.3">
      <c r="A265" s="8" t="s">
        <v>306</v>
      </c>
      <c r="B265" s="8" t="s">
        <v>311</v>
      </c>
      <c r="C265" s="12" t="s">
        <v>7</v>
      </c>
      <c r="D265" s="10">
        <v>0.25</v>
      </c>
      <c r="E265" s="14">
        <v>47717150</v>
      </c>
      <c r="F265" s="14">
        <f t="shared" si="20"/>
        <v>14315145</v>
      </c>
      <c r="G265" s="14">
        <v>40120</v>
      </c>
      <c r="H265" s="14">
        <f t="shared" si="21"/>
        <v>12036</v>
      </c>
      <c r="I265" s="14">
        <f t="shared" si="24"/>
        <v>11929287.5</v>
      </c>
      <c r="J265" s="14">
        <f t="shared" si="22"/>
        <v>3578786.25</v>
      </c>
      <c r="K265" s="11">
        <f t="shared" si="23"/>
        <v>9.2074724093902008E-2</v>
      </c>
    </row>
    <row r="266" spans="1:11" x14ac:dyDescent="0.3">
      <c r="A266" s="8" t="s">
        <v>306</v>
      </c>
      <c r="B266" s="8" t="s">
        <v>312</v>
      </c>
      <c r="C266" s="12" t="s">
        <v>7</v>
      </c>
      <c r="D266" s="10">
        <v>0.25</v>
      </c>
      <c r="E266" s="14">
        <v>45771810</v>
      </c>
      <c r="F266" s="14">
        <f t="shared" si="20"/>
        <v>13731543</v>
      </c>
      <c r="G266" s="14">
        <v>44470.76</v>
      </c>
      <c r="H266" s="14">
        <f t="shared" si="21"/>
        <v>13341.228000000001</v>
      </c>
      <c r="I266" s="14">
        <f t="shared" si="24"/>
        <v>11442952.5</v>
      </c>
      <c r="J266" s="14">
        <f t="shared" si="22"/>
        <v>3432885.75</v>
      </c>
      <c r="K266" s="11">
        <f t="shared" si="23"/>
        <v>8.8321007793393039E-2</v>
      </c>
    </row>
    <row r="267" spans="1:11" x14ac:dyDescent="0.3">
      <c r="A267" s="8" t="s">
        <v>306</v>
      </c>
      <c r="B267" s="8" t="s">
        <v>313</v>
      </c>
      <c r="C267" s="12" t="s">
        <v>7</v>
      </c>
      <c r="D267" s="10">
        <v>0.25</v>
      </c>
      <c r="E267" s="14">
        <v>36288910</v>
      </c>
      <c r="F267" s="14">
        <f t="shared" si="20"/>
        <v>10886673</v>
      </c>
      <c r="G267" s="14">
        <v>24045.5</v>
      </c>
      <c r="H267" s="14">
        <f t="shared" si="21"/>
        <v>7213.65</v>
      </c>
      <c r="I267" s="14">
        <f t="shared" si="24"/>
        <v>9072227.5</v>
      </c>
      <c r="J267" s="14">
        <f t="shared" si="22"/>
        <v>2721668.25</v>
      </c>
      <c r="K267" s="11">
        <f t="shared" si="23"/>
        <v>7.0022861296587108E-2</v>
      </c>
    </row>
    <row r="268" spans="1:11" x14ac:dyDescent="0.3">
      <c r="A268" s="8" t="s">
        <v>306</v>
      </c>
      <c r="B268" s="8" t="s">
        <v>314</v>
      </c>
      <c r="C268" s="12" t="s">
        <v>7</v>
      </c>
      <c r="D268" s="10">
        <v>0.25</v>
      </c>
      <c r="E268" s="14">
        <v>16213000</v>
      </c>
      <c r="F268" s="14">
        <f t="shared" si="20"/>
        <v>4863900</v>
      </c>
      <c r="G268" s="14">
        <v>14149.5</v>
      </c>
      <c r="H268" s="14">
        <f t="shared" si="21"/>
        <v>4244.8499999999995</v>
      </c>
      <c r="I268" s="14">
        <f t="shared" si="24"/>
        <v>4053250</v>
      </c>
      <c r="J268" s="14">
        <f t="shared" si="22"/>
        <v>1215975</v>
      </c>
      <c r="K268" s="11">
        <f t="shared" si="23"/>
        <v>3.1284506759821855E-2</v>
      </c>
    </row>
    <row r="269" spans="1:11" x14ac:dyDescent="0.3">
      <c r="A269" s="8" t="s">
        <v>306</v>
      </c>
      <c r="B269" s="8" t="s">
        <v>315</v>
      </c>
      <c r="C269" s="12" t="s">
        <v>7</v>
      </c>
      <c r="D269" s="10">
        <v>0.25</v>
      </c>
      <c r="E269" s="14">
        <v>14724000</v>
      </c>
      <c r="F269" s="14">
        <f t="shared" si="20"/>
        <v>4417200</v>
      </c>
      <c r="G269" s="14">
        <v>9763.869999999999</v>
      </c>
      <c r="H269" s="14">
        <f t="shared" si="21"/>
        <v>2929.1609999999996</v>
      </c>
      <c r="I269" s="14">
        <f t="shared" si="24"/>
        <v>3681000</v>
      </c>
      <c r="J269" s="14">
        <f t="shared" si="22"/>
        <v>1104300</v>
      </c>
      <c r="K269" s="11">
        <f t="shared" si="23"/>
        <v>2.8411341363820203E-2</v>
      </c>
    </row>
    <row r="270" spans="1:11" x14ac:dyDescent="0.3">
      <c r="A270" s="8" t="s">
        <v>306</v>
      </c>
      <c r="B270" s="8" t="s">
        <v>316</v>
      </c>
      <c r="C270" s="12" t="s">
        <v>7</v>
      </c>
      <c r="D270" s="10">
        <v>0.25</v>
      </c>
      <c r="E270" s="14">
        <v>10540000</v>
      </c>
      <c r="F270" s="14">
        <f t="shared" si="20"/>
        <v>3162000</v>
      </c>
      <c r="G270" s="14">
        <v>10030</v>
      </c>
      <c r="H270" s="14">
        <f t="shared" si="21"/>
        <v>3009</v>
      </c>
      <c r="I270" s="14">
        <f t="shared" si="24"/>
        <v>2635000</v>
      </c>
      <c r="J270" s="14">
        <f t="shared" si="22"/>
        <v>790500</v>
      </c>
      <c r="K270" s="11">
        <f t="shared" si="23"/>
        <v>2.0337920264511339E-2</v>
      </c>
    </row>
    <row r="271" spans="1:11" x14ac:dyDescent="0.3">
      <c r="A271" s="8" t="s">
        <v>306</v>
      </c>
      <c r="B271" s="8" t="s">
        <v>317</v>
      </c>
      <c r="C271" s="12" t="s">
        <v>7</v>
      </c>
      <c r="D271" s="10">
        <v>0.25</v>
      </c>
      <c r="E271" s="14">
        <v>7192000</v>
      </c>
      <c r="F271" s="14">
        <f t="shared" si="20"/>
        <v>2157600</v>
      </c>
      <c r="G271" s="14">
        <v>7724</v>
      </c>
      <c r="H271" s="14">
        <f t="shared" si="21"/>
        <v>2317.1999999999998</v>
      </c>
      <c r="I271" s="14">
        <f t="shared" si="24"/>
        <v>1798000</v>
      </c>
      <c r="J271" s="14">
        <f t="shared" si="22"/>
        <v>539400</v>
      </c>
      <c r="K271" s="11">
        <f t="shared" si="23"/>
        <v>1.3877639709901853E-2</v>
      </c>
    </row>
    <row r="272" spans="1:11" x14ac:dyDescent="0.3">
      <c r="A272" s="8" t="s">
        <v>306</v>
      </c>
      <c r="B272" s="8" t="s">
        <v>318</v>
      </c>
      <c r="C272" s="12" t="s">
        <v>7</v>
      </c>
      <c r="D272" s="10">
        <v>0.25</v>
      </c>
      <c r="E272" s="14">
        <v>5213050</v>
      </c>
      <c r="F272" s="14">
        <f t="shared" si="20"/>
        <v>1563915</v>
      </c>
      <c r="G272" s="14">
        <v>4729.2700000000004</v>
      </c>
      <c r="H272" s="14">
        <f t="shared" si="21"/>
        <v>1418.7810000000002</v>
      </c>
      <c r="I272" s="14">
        <f t="shared" si="24"/>
        <v>1303262.5</v>
      </c>
      <c r="J272" s="14">
        <f t="shared" si="22"/>
        <v>390978.75</v>
      </c>
      <c r="K272" s="11">
        <f t="shared" si="23"/>
        <v>1.0059069756632906E-2</v>
      </c>
    </row>
    <row r="273" spans="1:11" x14ac:dyDescent="0.3">
      <c r="A273" s="8" t="s">
        <v>306</v>
      </c>
      <c r="B273" s="8" t="s">
        <v>319</v>
      </c>
      <c r="C273" s="12" t="s">
        <v>7</v>
      </c>
      <c r="D273" s="10">
        <v>0.25</v>
      </c>
      <c r="E273" s="14">
        <v>3235470</v>
      </c>
      <c r="F273" s="14">
        <f t="shared" si="20"/>
        <v>970641</v>
      </c>
      <c r="G273" s="14">
        <v>3157.54</v>
      </c>
      <c r="H273" s="14">
        <f t="shared" si="21"/>
        <v>947.26199999999994</v>
      </c>
      <c r="I273" s="14">
        <f t="shared" si="24"/>
        <v>808867.5</v>
      </c>
      <c r="J273" s="14">
        <f t="shared" si="22"/>
        <v>242660.25</v>
      </c>
      <c r="K273" s="11">
        <f t="shared" si="23"/>
        <v>6.2431433470795539E-3</v>
      </c>
    </row>
    <row r="274" spans="1:11" x14ac:dyDescent="0.3">
      <c r="A274" s="8" t="s">
        <v>306</v>
      </c>
      <c r="B274" s="8" t="s">
        <v>320</v>
      </c>
      <c r="C274" s="12" t="s">
        <v>7</v>
      </c>
      <c r="D274" s="10">
        <v>0.25</v>
      </c>
      <c r="E274" s="14">
        <v>1369270</v>
      </c>
      <c r="F274" s="14">
        <f t="shared" si="20"/>
        <v>410781</v>
      </c>
      <c r="G274" s="14">
        <v>1500</v>
      </c>
      <c r="H274" s="14">
        <f t="shared" si="21"/>
        <v>450</v>
      </c>
      <c r="I274" s="14">
        <f t="shared" si="24"/>
        <v>342317.5</v>
      </c>
      <c r="J274" s="14">
        <f t="shared" si="22"/>
        <v>102695.25</v>
      </c>
      <c r="K274" s="11">
        <f t="shared" si="23"/>
        <v>2.6421351120101935E-3</v>
      </c>
    </row>
    <row r="275" spans="1:11" x14ac:dyDescent="0.3">
      <c r="A275" s="8" t="s">
        <v>339</v>
      </c>
      <c r="B275" s="8" t="s">
        <v>341</v>
      </c>
      <c r="C275" s="12" t="s">
        <v>7</v>
      </c>
      <c r="D275" s="10">
        <v>0.25</v>
      </c>
      <c r="E275" s="14">
        <v>603990140</v>
      </c>
      <c r="F275" s="14">
        <f t="shared" si="20"/>
        <v>181197042</v>
      </c>
      <c r="G275" s="14">
        <v>482399.38</v>
      </c>
      <c r="H275" s="14">
        <f t="shared" si="21"/>
        <v>144719.81399999998</v>
      </c>
      <c r="I275" s="14">
        <f t="shared" si="24"/>
        <v>150997535</v>
      </c>
      <c r="J275" s="14">
        <f t="shared" si="22"/>
        <v>45299260.5</v>
      </c>
      <c r="K275" s="11">
        <f t="shared" si="23"/>
        <v>1.1654557218093966</v>
      </c>
    </row>
    <row r="276" spans="1:11" x14ac:dyDescent="0.3">
      <c r="A276" s="8" t="s">
        <v>339</v>
      </c>
      <c r="B276" s="8" t="s">
        <v>344</v>
      </c>
      <c r="C276" s="12" t="s">
        <v>7</v>
      </c>
      <c r="D276" s="10">
        <v>0.25</v>
      </c>
      <c r="E276" s="14">
        <v>23000000</v>
      </c>
      <c r="F276" s="14">
        <f t="shared" si="20"/>
        <v>6900000</v>
      </c>
      <c r="G276" s="14">
        <v>40000</v>
      </c>
      <c r="H276" s="14">
        <f t="shared" si="21"/>
        <v>12000</v>
      </c>
      <c r="I276" s="14">
        <f t="shared" si="24"/>
        <v>5750000</v>
      </c>
      <c r="J276" s="14">
        <f t="shared" si="22"/>
        <v>1725000</v>
      </c>
      <c r="K276" s="11">
        <f t="shared" si="23"/>
        <v>4.4380660918762881E-2</v>
      </c>
    </row>
    <row r="277" spans="1:11" x14ac:dyDescent="0.3">
      <c r="A277" s="8" t="s">
        <v>339</v>
      </c>
      <c r="B277" s="8" t="s">
        <v>346</v>
      </c>
      <c r="C277" s="12" t="s">
        <v>7</v>
      </c>
      <c r="D277" s="10">
        <v>0.25</v>
      </c>
      <c r="E277" s="14">
        <v>11007600</v>
      </c>
      <c r="F277" s="14">
        <f t="shared" si="20"/>
        <v>3302280</v>
      </c>
      <c r="G277" s="14">
        <v>13300</v>
      </c>
      <c r="H277" s="14">
        <f t="shared" si="21"/>
        <v>3990</v>
      </c>
      <c r="I277" s="14">
        <f t="shared" si="24"/>
        <v>2751900</v>
      </c>
      <c r="J277" s="14">
        <f t="shared" si="22"/>
        <v>825570</v>
      </c>
      <c r="K277" s="11">
        <f t="shared" si="23"/>
        <v>2.1240198396929318E-2</v>
      </c>
    </row>
    <row r="278" spans="1:11" x14ac:dyDescent="0.3">
      <c r="A278" s="8" t="s">
        <v>339</v>
      </c>
      <c r="B278" s="8" t="s">
        <v>348</v>
      </c>
      <c r="C278" s="12" t="s">
        <v>7</v>
      </c>
      <c r="D278" s="10">
        <v>0.25</v>
      </c>
      <c r="E278" s="14">
        <v>3454640</v>
      </c>
      <c r="F278" s="14">
        <f t="shared" si="20"/>
        <v>1036392</v>
      </c>
      <c r="G278" s="14">
        <v>3000</v>
      </c>
      <c r="H278" s="14">
        <f t="shared" si="21"/>
        <v>900</v>
      </c>
      <c r="I278" s="14">
        <f t="shared" si="24"/>
        <v>863660</v>
      </c>
      <c r="J278" s="14">
        <f t="shared" si="22"/>
        <v>259098</v>
      </c>
      <c r="K278" s="11">
        <f t="shared" si="23"/>
        <v>6.6660524537563047E-3</v>
      </c>
    </row>
    <row r="279" spans="1:11" x14ac:dyDescent="0.3">
      <c r="A279" s="8" t="s">
        <v>339</v>
      </c>
      <c r="B279" s="8" t="s">
        <v>351</v>
      </c>
      <c r="C279" s="12" t="s">
        <v>7</v>
      </c>
      <c r="D279" s="10">
        <v>0.25</v>
      </c>
      <c r="E279" s="14">
        <v>2800000</v>
      </c>
      <c r="F279" s="14">
        <f t="shared" si="20"/>
        <v>840000</v>
      </c>
      <c r="G279" s="14">
        <v>3000</v>
      </c>
      <c r="H279" s="14">
        <f t="shared" si="21"/>
        <v>900</v>
      </c>
      <c r="I279" s="14">
        <f t="shared" si="24"/>
        <v>700000</v>
      </c>
      <c r="J279" s="14">
        <f t="shared" si="22"/>
        <v>210000</v>
      </c>
      <c r="K279" s="11">
        <f t="shared" si="23"/>
        <v>5.4028630683711333E-3</v>
      </c>
    </row>
    <row r="280" spans="1:11" x14ac:dyDescent="0.3">
      <c r="A280" s="8" t="s">
        <v>339</v>
      </c>
      <c r="B280" s="8" t="s">
        <v>355</v>
      </c>
      <c r="C280" s="12" t="s">
        <v>7</v>
      </c>
      <c r="D280" s="10">
        <v>0.25</v>
      </c>
      <c r="E280" s="14">
        <v>1670000</v>
      </c>
      <c r="F280" s="14">
        <f t="shared" si="20"/>
        <v>501000</v>
      </c>
      <c r="G280" s="14">
        <v>3000</v>
      </c>
      <c r="H280" s="14">
        <f t="shared" si="21"/>
        <v>900</v>
      </c>
      <c r="I280" s="14">
        <f t="shared" si="24"/>
        <v>417500</v>
      </c>
      <c r="J280" s="14">
        <f t="shared" si="22"/>
        <v>125250</v>
      </c>
      <c r="K280" s="11">
        <f t="shared" si="23"/>
        <v>3.2224219014927833E-3</v>
      </c>
    </row>
    <row r="281" spans="1:11" x14ac:dyDescent="0.3">
      <c r="A281" s="8" t="s">
        <v>374</v>
      </c>
      <c r="B281" s="8" t="s">
        <v>375</v>
      </c>
      <c r="C281" s="12" t="s">
        <v>7</v>
      </c>
      <c r="D281" s="10">
        <v>0.25</v>
      </c>
      <c r="E281" s="14">
        <v>1434020000</v>
      </c>
      <c r="F281" s="14">
        <f t="shared" si="20"/>
        <v>430206000</v>
      </c>
      <c r="G281" s="14">
        <v>206954</v>
      </c>
      <c r="H281" s="14">
        <f t="shared" si="21"/>
        <v>62086.2</v>
      </c>
      <c r="I281" s="14">
        <f t="shared" si="24"/>
        <v>358505000</v>
      </c>
      <c r="J281" s="14">
        <f t="shared" si="22"/>
        <v>107551500</v>
      </c>
      <c r="K281" s="11">
        <f t="shared" si="23"/>
        <v>2.7670763204662761</v>
      </c>
    </row>
    <row r="282" spans="1:11" x14ac:dyDescent="0.3">
      <c r="A282" s="8" t="s">
        <v>374</v>
      </c>
      <c r="B282" s="8" t="s">
        <v>376</v>
      </c>
      <c r="C282" s="12" t="s">
        <v>7</v>
      </c>
      <c r="D282" s="10">
        <v>0.25</v>
      </c>
      <c r="E282" s="14">
        <v>624990665</v>
      </c>
      <c r="F282" s="14">
        <f t="shared" si="20"/>
        <v>187497199.5</v>
      </c>
      <c r="G282" s="14">
        <v>463769.7</v>
      </c>
      <c r="H282" s="14">
        <f t="shared" si="21"/>
        <v>139130.91</v>
      </c>
      <c r="I282" s="14">
        <f t="shared" si="24"/>
        <v>156247666.25</v>
      </c>
      <c r="J282" s="14">
        <f t="shared" si="22"/>
        <v>46874299.875</v>
      </c>
      <c r="K282" s="11">
        <f t="shared" si="23"/>
        <v>1.2059782078590053</v>
      </c>
    </row>
    <row r="283" spans="1:11" x14ac:dyDescent="0.3">
      <c r="A283" s="8" t="s">
        <v>374</v>
      </c>
      <c r="B283" s="8" t="s">
        <v>377</v>
      </c>
      <c r="C283" s="12" t="s">
        <v>7</v>
      </c>
      <c r="D283" s="10">
        <v>0.25</v>
      </c>
      <c r="E283" s="14">
        <v>501986903</v>
      </c>
      <c r="F283" s="14">
        <f t="shared" si="20"/>
        <v>150596070.90000001</v>
      </c>
      <c r="G283" s="14">
        <v>236175.48</v>
      </c>
      <c r="H283" s="14">
        <f t="shared" si="21"/>
        <v>70852.644</v>
      </c>
      <c r="I283" s="14">
        <f t="shared" si="24"/>
        <v>125496725.75</v>
      </c>
      <c r="J283" s="14">
        <f t="shared" si="22"/>
        <v>37649017.725000001</v>
      </c>
      <c r="K283" s="11">
        <f t="shared" si="23"/>
        <v>0.96863089250882239</v>
      </c>
    </row>
    <row r="284" spans="1:11" x14ac:dyDescent="0.3">
      <c r="A284" s="8" t="s">
        <v>374</v>
      </c>
      <c r="B284" s="8" t="s">
        <v>374</v>
      </c>
      <c r="C284" s="12" t="s">
        <v>7</v>
      </c>
      <c r="D284" s="10">
        <v>0.25</v>
      </c>
      <c r="E284" s="14">
        <v>271480100</v>
      </c>
      <c r="F284" s="14">
        <f t="shared" si="20"/>
        <v>81444030</v>
      </c>
      <c r="G284" s="14">
        <v>210039.38</v>
      </c>
      <c r="H284" s="14">
        <f t="shared" si="21"/>
        <v>63011.813999999998</v>
      </c>
      <c r="I284" s="14">
        <f t="shared" si="24"/>
        <v>67870025</v>
      </c>
      <c r="J284" s="14">
        <f t="shared" si="22"/>
        <v>20361007.5</v>
      </c>
      <c r="K284" s="11">
        <f t="shared" si="23"/>
        <v>0.52384635931703649</v>
      </c>
    </row>
    <row r="285" spans="1:11" x14ac:dyDescent="0.3">
      <c r="A285" s="8" t="s">
        <v>374</v>
      </c>
      <c r="B285" s="8" t="s">
        <v>378</v>
      </c>
      <c r="C285" s="12" t="s">
        <v>7</v>
      </c>
      <c r="D285" s="10">
        <v>0.25</v>
      </c>
      <c r="E285" s="14">
        <v>175162690</v>
      </c>
      <c r="F285" s="14">
        <f t="shared" si="20"/>
        <v>52548807</v>
      </c>
      <c r="G285" s="14">
        <v>161532.29</v>
      </c>
      <c r="H285" s="14">
        <f t="shared" si="21"/>
        <v>48459.686999999998</v>
      </c>
      <c r="I285" s="14">
        <f t="shared" si="24"/>
        <v>43790672.5</v>
      </c>
      <c r="J285" s="14">
        <f t="shared" si="22"/>
        <v>13137201.75</v>
      </c>
      <c r="K285" s="11">
        <f t="shared" si="23"/>
        <v>0.33799286741340773</v>
      </c>
    </row>
    <row r="286" spans="1:11" x14ac:dyDescent="0.3">
      <c r="A286" s="8" t="s">
        <v>374</v>
      </c>
      <c r="B286" s="8" t="s">
        <v>379</v>
      </c>
      <c r="C286" s="12" t="s">
        <v>7</v>
      </c>
      <c r="D286" s="10">
        <v>0.25</v>
      </c>
      <c r="E286" s="14">
        <v>123521420</v>
      </c>
      <c r="F286" s="14">
        <f t="shared" si="20"/>
        <v>37056426</v>
      </c>
      <c r="G286" s="14">
        <v>77433.03</v>
      </c>
      <c r="H286" s="14">
        <f t="shared" si="21"/>
        <v>23229.909</v>
      </c>
      <c r="I286" s="14">
        <f t="shared" si="24"/>
        <v>30880355</v>
      </c>
      <c r="J286" s="14">
        <f t="shared" si="22"/>
        <v>9264106.5</v>
      </c>
      <c r="K286" s="11">
        <f t="shared" si="23"/>
        <v>0.2383461850966998</v>
      </c>
    </row>
    <row r="287" spans="1:11" x14ac:dyDescent="0.3">
      <c r="A287" s="8" t="s">
        <v>374</v>
      </c>
      <c r="B287" s="8" t="s">
        <v>380</v>
      </c>
      <c r="C287" s="12" t="s">
        <v>7</v>
      </c>
      <c r="D287" s="10">
        <v>0.25</v>
      </c>
      <c r="E287" s="14">
        <v>101169110</v>
      </c>
      <c r="F287" s="14">
        <f t="shared" si="20"/>
        <v>30350733</v>
      </c>
      <c r="G287" s="14">
        <v>100267.46</v>
      </c>
      <c r="H287" s="14">
        <f t="shared" si="21"/>
        <v>30080.238000000001</v>
      </c>
      <c r="I287" s="14">
        <f t="shared" si="24"/>
        <v>25292277.5</v>
      </c>
      <c r="J287" s="14">
        <f t="shared" si="22"/>
        <v>7587683.25</v>
      </c>
      <c r="K287" s="11">
        <f t="shared" si="23"/>
        <v>0.19521530288534883</v>
      </c>
    </row>
    <row r="288" spans="1:11" x14ac:dyDescent="0.3">
      <c r="A288" s="8" t="s">
        <v>374</v>
      </c>
      <c r="B288" s="8" t="s">
        <v>381</v>
      </c>
      <c r="C288" s="12" t="s">
        <v>7</v>
      </c>
      <c r="D288" s="10">
        <v>0.25</v>
      </c>
      <c r="E288" s="14">
        <v>64476430</v>
      </c>
      <c r="F288" s="14">
        <f t="shared" si="20"/>
        <v>19342929</v>
      </c>
      <c r="G288" s="14">
        <v>62982.2</v>
      </c>
      <c r="H288" s="14">
        <f t="shared" si="21"/>
        <v>18894.66</v>
      </c>
      <c r="I288" s="14">
        <f t="shared" si="24"/>
        <v>16119107.5</v>
      </c>
      <c r="J288" s="14">
        <f t="shared" si="22"/>
        <v>4835732.25</v>
      </c>
      <c r="K288" s="11">
        <f t="shared" si="23"/>
        <v>0.12441332943836307</v>
      </c>
    </row>
    <row r="289" spans="1:11" x14ac:dyDescent="0.3">
      <c r="A289" s="8" t="s">
        <v>374</v>
      </c>
      <c r="B289" s="8" t="s">
        <v>382</v>
      </c>
      <c r="C289" s="12" t="s">
        <v>7</v>
      </c>
      <c r="D289" s="10">
        <v>0.25</v>
      </c>
      <c r="E289" s="14">
        <v>39994850</v>
      </c>
      <c r="F289" s="14">
        <f t="shared" si="20"/>
        <v>11998455</v>
      </c>
      <c r="G289" s="14">
        <v>38300.15</v>
      </c>
      <c r="H289" s="14">
        <f t="shared" si="21"/>
        <v>11490.045</v>
      </c>
      <c r="I289" s="14">
        <f t="shared" si="24"/>
        <v>9998712.5</v>
      </c>
      <c r="J289" s="14">
        <f t="shared" si="22"/>
        <v>2999613.75</v>
      </c>
      <c r="K289" s="11">
        <f t="shared" si="23"/>
        <v>7.7173820710729715E-2</v>
      </c>
    </row>
    <row r="290" spans="1:11" x14ac:dyDescent="0.3">
      <c r="A290" s="8" t="s">
        <v>374</v>
      </c>
      <c r="B290" s="8" t="s">
        <v>383</v>
      </c>
      <c r="C290" s="12" t="s">
        <v>7</v>
      </c>
      <c r="D290" s="10">
        <v>0.25</v>
      </c>
      <c r="E290" s="14">
        <v>22435140</v>
      </c>
      <c r="F290" s="14">
        <f t="shared" si="20"/>
        <v>6730542</v>
      </c>
      <c r="G290" s="14">
        <v>21051.5</v>
      </c>
      <c r="H290" s="14">
        <f t="shared" si="21"/>
        <v>6315.45</v>
      </c>
      <c r="I290" s="14">
        <f t="shared" si="24"/>
        <v>5608785</v>
      </c>
      <c r="J290" s="14">
        <f t="shared" si="22"/>
        <v>1682635.5</v>
      </c>
      <c r="K290" s="11">
        <f t="shared" si="23"/>
        <v>4.3290710478477122E-2</v>
      </c>
    </row>
    <row r="291" spans="1:11" x14ac:dyDescent="0.3">
      <c r="A291" s="8" t="s">
        <v>374</v>
      </c>
      <c r="B291" s="8" t="s">
        <v>384</v>
      </c>
      <c r="C291" s="12" t="s">
        <v>7</v>
      </c>
      <c r="D291" s="10">
        <v>0.25</v>
      </c>
      <c r="E291" s="14">
        <v>13638100</v>
      </c>
      <c r="F291" s="14">
        <f t="shared" si="20"/>
        <v>4091430</v>
      </c>
      <c r="G291" s="14">
        <v>11900.02</v>
      </c>
      <c r="H291" s="14">
        <f t="shared" si="21"/>
        <v>3570.0059999999999</v>
      </c>
      <c r="I291" s="14">
        <f t="shared" si="24"/>
        <v>3409525</v>
      </c>
      <c r="J291" s="14">
        <f t="shared" si="22"/>
        <v>1022857.5</v>
      </c>
      <c r="K291" s="11">
        <f t="shared" si="23"/>
        <v>2.6315995290268696E-2</v>
      </c>
    </row>
    <row r="292" spans="1:11" x14ac:dyDescent="0.3">
      <c r="A292" s="8" t="s">
        <v>374</v>
      </c>
      <c r="B292" s="8" t="s">
        <v>385</v>
      </c>
      <c r="C292" s="12" t="s">
        <v>7</v>
      </c>
      <c r="D292" s="10">
        <v>0.25</v>
      </c>
      <c r="E292" s="14">
        <v>5543300</v>
      </c>
      <c r="F292" s="14">
        <f t="shared" si="20"/>
        <v>1662990</v>
      </c>
      <c r="G292" s="14">
        <v>6492.14</v>
      </c>
      <c r="H292" s="14">
        <f t="shared" si="21"/>
        <v>1947.6420000000001</v>
      </c>
      <c r="I292" s="14">
        <f t="shared" si="24"/>
        <v>1385825</v>
      </c>
      <c r="J292" s="14">
        <f t="shared" si="22"/>
        <v>415747.5</v>
      </c>
      <c r="K292" s="11">
        <f t="shared" si="23"/>
        <v>1.069631815960775E-2</v>
      </c>
    </row>
    <row r="293" spans="1:11" x14ac:dyDescent="0.3">
      <c r="A293" s="8" t="s">
        <v>374</v>
      </c>
      <c r="B293" s="8" t="s">
        <v>386</v>
      </c>
      <c r="C293" s="12" t="s">
        <v>7</v>
      </c>
      <c r="D293" s="10">
        <v>0.25</v>
      </c>
      <c r="E293" s="14">
        <v>3000000</v>
      </c>
      <c r="F293" s="14">
        <f t="shared" si="20"/>
        <v>900000</v>
      </c>
      <c r="G293" s="14">
        <v>2500</v>
      </c>
      <c r="H293" s="14">
        <f t="shared" si="21"/>
        <v>750</v>
      </c>
      <c r="I293" s="14">
        <f t="shared" si="24"/>
        <v>750000</v>
      </c>
      <c r="J293" s="14">
        <f t="shared" si="22"/>
        <v>225000</v>
      </c>
      <c r="K293" s="11">
        <f t="shared" si="23"/>
        <v>5.788781858969071E-3</v>
      </c>
    </row>
    <row r="294" spans="1:11" x14ac:dyDescent="0.3">
      <c r="A294" s="8" t="s">
        <v>374</v>
      </c>
      <c r="B294" s="8" t="s">
        <v>387</v>
      </c>
      <c r="C294" s="12" t="s">
        <v>7</v>
      </c>
      <c r="D294" s="10">
        <v>0.25</v>
      </c>
      <c r="E294" s="14">
        <v>2000000</v>
      </c>
      <c r="F294" s="14">
        <f t="shared" si="20"/>
        <v>600000</v>
      </c>
      <c r="G294" s="14">
        <v>2500</v>
      </c>
      <c r="H294" s="14">
        <f t="shared" si="21"/>
        <v>750</v>
      </c>
      <c r="I294" s="14">
        <f t="shared" si="24"/>
        <v>500000</v>
      </c>
      <c r="J294" s="14">
        <f t="shared" si="22"/>
        <v>150000</v>
      </c>
      <c r="K294" s="11">
        <f t="shared" si="23"/>
        <v>3.859187905979381E-3</v>
      </c>
    </row>
    <row r="295" spans="1:11" x14ac:dyDescent="0.3">
      <c r="A295" s="8" t="s">
        <v>374</v>
      </c>
      <c r="B295" s="8" t="s">
        <v>388</v>
      </c>
      <c r="C295" s="12" t="s">
        <v>7</v>
      </c>
      <c r="D295" s="10">
        <v>0.25</v>
      </c>
      <c r="E295" s="14">
        <v>1790250</v>
      </c>
      <c r="F295" s="14">
        <f t="shared" si="20"/>
        <v>537075</v>
      </c>
      <c r="G295" s="14">
        <v>1500</v>
      </c>
      <c r="H295" s="14">
        <f t="shared" si="21"/>
        <v>450</v>
      </c>
      <c r="I295" s="14">
        <f t="shared" si="24"/>
        <v>447562.5</v>
      </c>
      <c r="J295" s="14">
        <f t="shared" si="22"/>
        <v>134268.75</v>
      </c>
      <c r="K295" s="11">
        <f t="shared" si="23"/>
        <v>3.4544555743397935E-3</v>
      </c>
    </row>
    <row r="296" spans="1:11" x14ac:dyDescent="0.3">
      <c r="A296" s="8" t="s">
        <v>374</v>
      </c>
      <c r="B296" s="8" t="s">
        <v>389</v>
      </c>
      <c r="C296" s="12" t="s">
        <v>7</v>
      </c>
      <c r="D296" s="10">
        <v>0.25</v>
      </c>
      <c r="E296" s="14">
        <v>1680000</v>
      </c>
      <c r="F296" s="14">
        <f t="shared" si="20"/>
        <v>504000</v>
      </c>
      <c r="G296" s="14">
        <v>1500</v>
      </c>
      <c r="H296" s="14">
        <f t="shared" si="21"/>
        <v>450</v>
      </c>
      <c r="I296" s="14">
        <f t="shared" si="24"/>
        <v>420000</v>
      </c>
      <c r="J296" s="14">
        <f t="shared" si="22"/>
        <v>126000</v>
      </c>
      <c r="K296" s="11">
        <f t="shared" si="23"/>
        <v>3.2417178410226802E-3</v>
      </c>
    </row>
    <row r="297" spans="1:11" x14ac:dyDescent="0.3">
      <c r="A297" s="8" t="s">
        <v>390</v>
      </c>
      <c r="B297" s="8" t="s">
        <v>390</v>
      </c>
      <c r="C297" s="12" t="s">
        <v>7</v>
      </c>
      <c r="D297" s="10">
        <v>0.25</v>
      </c>
      <c r="E297" s="14">
        <v>1367273082</v>
      </c>
      <c r="F297" s="14">
        <f t="shared" si="20"/>
        <v>410181924.59999996</v>
      </c>
      <c r="G297" s="14">
        <v>753083.73</v>
      </c>
      <c r="H297" s="14">
        <f t="shared" si="21"/>
        <v>225925.11899999998</v>
      </c>
      <c r="I297" s="14">
        <f t="shared" si="24"/>
        <v>341818270.5</v>
      </c>
      <c r="J297" s="14">
        <f t="shared" si="22"/>
        <v>102545481.14999999</v>
      </c>
      <c r="K297" s="11">
        <f t="shared" si="23"/>
        <v>2.6382818711127771</v>
      </c>
    </row>
    <row r="298" spans="1:11" x14ac:dyDescent="0.3">
      <c r="A298" s="8" t="s">
        <v>390</v>
      </c>
      <c r="B298" s="8" t="s">
        <v>391</v>
      </c>
      <c r="C298" s="12" t="s">
        <v>7</v>
      </c>
      <c r="D298" s="10">
        <v>0.25</v>
      </c>
      <c r="E298" s="14">
        <v>143621950</v>
      </c>
      <c r="F298" s="14">
        <f t="shared" si="20"/>
        <v>43086585</v>
      </c>
      <c r="G298" s="14">
        <v>104859.77</v>
      </c>
      <c r="H298" s="14">
        <f t="shared" si="21"/>
        <v>31457.931</v>
      </c>
      <c r="I298" s="14">
        <f t="shared" si="24"/>
        <v>35905487.5</v>
      </c>
      <c r="J298" s="14">
        <f t="shared" si="22"/>
        <v>10771646.25</v>
      </c>
      <c r="K298" s="11">
        <f t="shared" si="23"/>
        <v>0.27713204623658766</v>
      </c>
    </row>
    <row r="299" spans="1:11" x14ac:dyDescent="0.3">
      <c r="A299" s="8" t="s">
        <v>390</v>
      </c>
      <c r="B299" s="8" t="s">
        <v>392</v>
      </c>
      <c r="C299" s="12" t="s">
        <v>7</v>
      </c>
      <c r="D299" s="10">
        <v>0.25</v>
      </c>
      <c r="E299" s="14">
        <v>129930000</v>
      </c>
      <c r="F299" s="14">
        <f t="shared" si="20"/>
        <v>38979000</v>
      </c>
      <c r="G299" s="14">
        <v>61090.5</v>
      </c>
      <c r="H299" s="14">
        <f t="shared" si="21"/>
        <v>18327.149999999998</v>
      </c>
      <c r="I299" s="14">
        <f t="shared" si="24"/>
        <v>32482500</v>
      </c>
      <c r="J299" s="14">
        <f t="shared" si="22"/>
        <v>9744750</v>
      </c>
      <c r="K299" s="11">
        <f t="shared" si="23"/>
        <v>0.25071214231195049</v>
      </c>
    </row>
    <row r="300" spans="1:11" x14ac:dyDescent="0.3">
      <c r="A300" s="8" t="s">
        <v>390</v>
      </c>
      <c r="B300" s="8" t="s">
        <v>393</v>
      </c>
      <c r="C300" s="12" t="s">
        <v>7</v>
      </c>
      <c r="D300" s="10">
        <v>0.25</v>
      </c>
      <c r="E300" s="14">
        <v>107431300</v>
      </c>
      <c r="F300" s="14">
        <f t="shared" si="20"/>
        <v>32229390</v>
      </c>
      <c r="G300" s="14">
        <v>30293.55</v>
      </c>
      <c r="H300" s="14">
        <f t="shared" si="21"/>
        <v>9088.0649999999987</v>
      </c>
      <c r="I300" s="14">
        <f t="shared" si="24"/>
        <v>26857825</v>
      </c>
      <c r="J300" s="14">
        <f t="shared" si="22"/>
        <v>8057347.5</v>
      </c>
      <c r="K300" s="11">
        <f t="shared" si="23"/>
        <v>0.20729878684182132</v>
      </c>
    </row>
    <row r="301" spans="1:11" x14ac:dyDescent="0.3">
      <c r="A301" s="8" t="s">
        <v>390</v>
      </c>
      <c r="B301" s="8" t="s">
        <v>394</v>
      </c>
      <c r="C301" s="12" t="s">
        <v>7</v>
      </c>
      <c r="D301" s="10">
        <v>0.25</v>
      </c>
      <c r="E301" s="14">
        <v>102427560</v>
      </c>
      <c r="F301" s="14">
        <f t="shared" si="20"/>
        <v>30728268</v>
      </c>
      <c r="G301" s="14">
        <v>55559.62</v>
      </c>
      <c r="H301" s="14">
        <f t="shared" si="21"/>
        <v>16667.885999999999</v>
      </c>
      <c r="I301" s="14">
        <f t="shared" si="24"/>
        <v>25606890</v>
      </c>
      <c r="J301" s="14">
        <f t="shared" si="22"/>
        <v>7682067</v>
      </c>
      <c r="K301" s="11">
        <f t="shared" si="23"/>
        <v>0.1976436003954887</v>
      </c>
    </row>
    <row r="302" spans="1:11" x14ac:dyDescent="0.3">
      <c r="A302" s="8" t="s">
        <v>390</v>
      </c>
      <c r="B302" s="8" t="s">
        <v>395</v>
      </c>
      <c r="C302" s="12" t="s">
        <v>7</v>
      </c>
      <c r="D302" s="10">
        <v>0.25</v>
      </c>
      <c r="E302" s="14">
        <v>77818200</v>
      </c>
      <c r="F302" s="14">
        <f t="shared" si="20"/>
        <v>23345460</v>
      </c>
      <c r="G302" s="14">
        <v>9007.4340000000011</v>
      </c>
      <c r="H302" s="14">
        <f t="shared" si="21"/>
        <v>2702.2302000000004</v>
      </c>
      <c r="I302" s="14">
        <f t="shared" si="24"/>
        <v>19454550</v>
      </c>
      <c r="J302" s="14">
        <f t="shared" si="22"/>
        <v>5836365</v>
      </c>
      <c r="K302" s="11">
        <f t="shared" si="23"/>
        <v>0.15015752815254232</v>
      </c>
    </row>
    <row r="303" spans="1:11" x14ac:dyDescent="0.3">
      <c r="A303" s="8" t="s">
        <v>390</v>
      </c>
      <c r="B303" s="8" t="s">
        <v>396</v>
      </c>
      <c r="C303" s="12" t="s">
        <v>7</v>
      </c>
      <c r="D303" s="10">
        <v>0.25</v>
      </c>
      <c r="E303" s="14">
        <v>53107750</v>
      </c>
      <c r="F303" s="14">
        <f t="shared" si="20"/>
        <v>15932325</v>
      </c>
      <c r="G303" s="14">
        <v>35978.54</v>
      </c>
      <c r="H303" s="14">
        <f t="shared" si="21"/>
        <v>10793.562</v>
      </c>
      <c r="I303" s="14">
        <f t="shared" si="24"/>
        <v>13276937.5</v>
      </c>
      <c r="J303" s="14">
        <f t="shared" si="22"/>
        <v>3983081.25</v>
      </c>
      <c r="K303" s="11">
        <f t="shared" si="23"/>
        <v>0.10247639325688823</v>
      </c>
    </row>
    <row r="304" spans="1:11" x14ac:dyDescent="0.3">
      <c r="A304" s="8" t="s">
        <v>390</v>
      </c>
      <c r="B304" s="8" t="s">
        <v>397</v>
      </c>
      <c r="C304" s="12" t="s">
        <v>7</v>
      </c>
      <c r="D304" s="10">
        <v>0.25</v>
      </c>
      <c r="E304" s="14">
        <v>26170000</v>
      </c>
      <c r="F304" s="14">
        <f t="shared" si="20"/>
        <v>7851000</v>
      </c>
      <c r="G304" s="14">
        <v>7660</v>
      </c>
      <c r="H304" s="14">
        <f t="shared" si="21"/>
        <v>2298</v>
      </c>
      <c r="I304" s="14">
        <f t="shared" si="24"/>
        <v>6542500</v>
      </c>
      <c r="J304" s="14">
        <f t="shared" si="22"/>
        <v>1962750</v>
      </c>
      <c r="K304" s="11">
        <f t="shared" si="23"/>
        <v>5.0497473749740202E-2</v>
      </c>
    </row>
    <row r="305" spans="1:11" x14ac:dyDescent="0.3">
      <c r="A305" s="8" t="s">
        <v>390</v>
      </c>
      <c r="B305" s="8" t="s">
        <v>398</v>
      </c>
      <c r="C305" s="12" t="s">
        <v>7</v>
      </c>
      <c r="D305" s="10">
        <v>0.25</v>
      </c>
      <c r="E305" s="14">
        <v>15995000</v>
      </c>
      <c r="F305" s="14">
        <f t="shared" si="20"/>
        <v>4798500</v>
      </c>
      <c r="G305" s="14">
        <v>11441.75</v>
      </c>
      <c r="H305" s="14">
        <f t="shared" si="21"/>
        <v>3432.5250000000001</v>
      </c>
      <c r="I305" s="14">
        <f t="shared" si="24"/>
        <v>3998750</v>
      </c>
      <c r="J305" s="14">
        <f t="shared" si="22"/>
        <v>1199625</v>
      </c>
      <c r="K305" s="11">
        <f t="shared" si="23"/>
        <v>3.0863855278070097E-2</v>
      </c>
    </row>
    <row r="306" spans="1:11" x14ac:dyDescent="0.3">
      <c r="A306" s="8" t="s">
        <v>390</v>
      </c>
      <c r="B306" s="8" t="s">
        <v>399</v>
      </c>
      <c r="C306" s="12" t="s">
        <v>7</v>
      </c>
      <c r="D306" s="10">
        <v>0.25</v>
      </c>
      <c r="E306" s="14">
        <v>11445000</v>
      </c>
      <c r="F306" s="14">
        <f t="shared" si="20"/>
        <v>3433500</v>
      </c>
      <c r="G306" s="14">
        <v>8381.1</v>
      </c>
      <c r="H306" s="14">
        <f t="shared" si="21"/>
        <v>2514.33</v>
      </c>
      <c r="I306" s="14">
        <f t="shared" si="24"/>
        <v>2861250</v>
      </c>
      <c r="J306" s="14">
        <f t="shared" si="22"/>
        <v>858375</v>
      </c>
      <c r="K306" s="11">
        <f t="shared" si="23"/>
        <v>2.2084202791967007E-2</v>
      </c>
    </row>
    <row r="307" spans="1:11" x14ac:dyDescent="0.3">
      <c r="A307" s="8" t="s">
        <v>390</v>
      </c>
      <c r="B307" s="8" t="s">
        <v>403</v>
      </c>
      <c r="C307" s="12" t="s">
        <v>7</v>
      </c>
      <c r="D307" s="10">
        <v>0.25</v>
      </c>
      <c r="E307" s="14">
        <v>2571490</v>
      </c>
      <c r="F307" s="14">
        <f t="shared" si="20"/>
        <v>771447</v>
      </c>
      <c r="G307" s="14">
        <v>3000</v>
      </c>
      <c r="H307" s="14">
        <f t="shared" si="21"/>
        <v>900</v>
      </c>
      <c r="I307" s="14">
        <f t="shared" si="24"/>
        <v>642872.5</v>
      </c>
      <c r="J307" s="14">
        <f t="shared" si="22"/>
        <v>192861.75</v>
      </c>
      <c r="K307" s="11">
        <f t="shared" si="23"/>
        <v>4.961931554173459E-3</v>
      </c>
    </row>
    <row r="308" spans="1:11" x14ac:dyDescent="0.3">
      <c r="A308" s="8" t="s">
        <v>390</v>
      </c>
      <c r="B308" s="8" t="s">
        <v>404</v>
      </c>
      <c r="C308" s="12" t="s">
        <v>7</v>
      </c>
      <c r="D308" s="10">
        <v>0.25</v>
      </c>
      <c r="E308" s="14">
        <v>1750000</v>
      </c>
      <c r="F308" s="14">
        <f t="shared" si="20"/>
        <v>525000</v>
      </c>
      <c r="G308" s="14">
        <v>1800</v>
      </c>
      <c r="H308" s="14">
        <f t="shared" si="21"/>
        <v>540</v>
      </c>
      <c r="I308" s="14">
        <f t="shared" si="24"/>
        <v>437500</v>
      </c>
      <c r="J308" s="14">
        <f t="shared" si="22"/>
        <v>131250</v>
      </c>
      <c r="K308" s="11">
        <f t="shared" si="23"/>
        <v>3.3767894177319582E-3</v>
      </c>
    </row>
    <row r="309" spans="1:11" x14ac:dyDescent="0.3">
      <c r="A309" s="8" t="s">
        <v>390</v>
      </c>
      <c r="B309" s="8" t="s">
        <v>406</v>
      </c>
      <c r="C309" s="12" t="s">
        <v>7</v>
      </c>
      <c r="D309" s="10">
        <v>0.25</v>
      </c>
      <c r="E309" s="14">
        <v>1120000</v>
      </c>
      <c r="F309" s="14">
        <f t="shared" si="20"/>
        <v>336000</v>
      </c>
      <c r="G309" s="14">
        <v>1500</v>
      </c>
      <c r="H309" s="14">
        <f t="shared" si="21"/>
        <v>450</v>
      </c>
      <c r="I309" s="14">
        <f t="shared" si="24"/>
        <v>280000</v>
      </c>
      <c r="J309" s="14">
        <f t="shared" si="22"/>
        <v>84000</v>
      </c>
      <c r="K309" s="11">
        <f t="shared" si="23"/>
        <v>2.1611452273484532E-3</v>
      </c>
    </row>
    <row r="310" spans="1:11" x14ac:dyDescent="0.3">
      <c r="A310" s="8" t="s">
        <v>407</v>
      </c>
      <c r="B310" s="8" t="s">
        <v>409</v>
      </c>
      <c r="C310" s="12" t="s">
        <v>7</v>
      </c>
      <c r="D310" s="10">
        <v>0.25</v>
      </c>
      <c r="E310" s="14">
        <v>1028229410</v>
      </c>
      <c r="F310" s="14">
        <f t="shared" si="20"/>
        <v>308468823</v>
      </c>
      <c r="G310" s="14">
        <v>687261.65</v>
      </c>
      <c r="H310" s="14">
        <f t="shared" si="21"/>
        <v>206178.495</v>
      </c>
      <c r="I310" s="14">
        <f t="shared" si="24"/>
        <v>257057352.5</v>
      </c>
      <c r="J310" s="14">
        <f t="shared" si="22"/>
        <v>77117205.75</v>
      </c>
      <c r="K310" s="11">
        <f t="shared" si="23"/>
        <v>1.9840652518221571</v>
      </c>
    </row>
    <row r="311" spans="1:11" x14ac:dyDescent="0.3">
      <c r="A311" s="8" t="s">
        <v>407</v>
      </c>
      <c r="B311" s="8" t="s">
        <v>410</v>
      </c>
      <c r="C311" s="12" t="s">
        <v>7</v>
      </c>
      <c r="D311" s="10">
        <v>0.25</v>
      </c>
      <c r="E311" s="14">
        <v>35829440</v>
      </c>
      <c r="F311" s="14">
        <f t="shared" si="20"/>
        <v>10748832</v>
      </c>
      <c r="G311" s="14">
        <v>26896.83</v>
      </c>
      <c r="H311" s="14">
        <f t="shared" si="21"/>
        <v>8069.049</v>
      </c>
      <c r="I311" s="14">
        <f t="shared" si="24"/>
        <v>8957360</v>
      </c>
      <c r="J311" s="14">
        <f t="shared" si="22"/>
        <v>2687208</v>
      </c>
      <c r="K311" s="11">
        <f t="shared" si="23"/>
        <v>6.9136270763006935E-2</v>
      </c>
    </row>
    <row r="312" spans="1:11" x14ac:dyDescent="0.3">
      <c r="A312" s="8" t="s">
        <v>407</v>
      </c>
      <c r="B312" s="8" t="s">
        <v>411</v>
      </c>
      <c r="C312" s="12" t="s">
        <v>7</v>
      </c>
      <c r="D312" s="10">
        <v>0.25</v>
      </c>
      <c r="E312" s="14">
        <v>34763030</v>
      </c>
      <c r="F312" s="14">
        <f t="shared" si="20"/>
        <v>10428909</v>
      </c>
      <c r="G312" s="14">
        <v>32025</v>
      </c>
      <c r="H312" s="14">
        <f t="shared" si="21"/>
        <v>9607.5</v>
      </c>
      <c r="I312" s="14">
        <f t="shared" si="24"/>
        <v>8690757.5</v>
      </c>
      <c r="J312" s="14">
        <f t="shared" si="22"/>
        <v>2607227.25</v>
      </c>
      <c r="K312" s="11">
        <f t="shared" si="23"/>
        <v>6.7078532475599195E-2</v>
      </c>
    </row>
    <row r="313" spans="1:11" x14ac:dyDescent="0.3">
      <c r="A313" s="8" t="s">
        <v>407</v>
      </c>
      <c r="B313" s="8" t="s">
        <v>412</v>
      </c>
      <c r="C313" s="12" t="s">
        <v>7</v>
      </c>
      <c r="D313" s="10">
        <v>0.25</v>
      </c>
      <c r="E313" s="14">
        <v>29542000</v>
      </c>
      <c r="F313" s="14">
        <f t="shared" si="20"/>
        <v>8862600</v>
      </c>
      <c r="G313" s="14">
        <v>16892.3</v>
      </c>
      <c r="H313" s="14">
        <f t="shared" si="21"/>
        <v>5067.6899999999996</v>
      </c>
      <c r="I313" s="14">
        <f t="shared" si="24"/>
        <v>7385500</v>
      </c>
      <c r="J313" s="14">
        <f t="shared" si="22"/>
        <v>2215650</v>
      </c>
      <c r="K313" s="11">
        <f t="shared" si="23"/>
        <v>5.7004064559221433E-2</v>
      </c>
    </row>
    <row r="314" spans="1:11" x14ac:dyDescent="0.3">
      <c r="A314" s="8" t="s">
        <v>407</v>
      </c>
      <c r="B314" s="8" t="s">
        <v>413</v>
      </c>
      <c r="C314" s="12" t="s">
        <v>7</v>
      </c>
      <c r="D314" s="10">
        <v>0.25</v>
      </c>
      <c r="E314" s="14">
        <v>25532750</v>
      </c>
      <c r="F314" s="14">
        <f t="shared" si="20"/>
        <v>7659825</v>
      </c>
      <c r="G314" s="14">
        <v>16620.63</v>
      </c>
      <c r="H314" s="14">
        <f t="shared" si="21"/>
        <v>4986.1890000000003</v>
      </c>
      <c r="I314" s="14">
        <f t="shared" si="24"/>
        <v>6383187.5</v>
      </c>
      <c r="J314" s="14">
        <f t="shared" si="22"/>
        <v>1914956.25</v>
      </c>
      <c r="K314" s="11">
        <f t="shared" si="23"/>
        <v>4.9267840003197519E-2</v>
      </c>
    </row>
    <row r="315" spans="1:11" x14ac:dyDescent="0.3">
      <c r="A315" s="8" t="s">
        <v>407</v>
      </c>
      <c r="B315" s="8" t="s">
        <v>414</v>
      </c>
      <c r="C315" s="12" t="s">
        <v>7</v>
      </c>
      <c r="D315" s="10">
        <v>0.25</v>
      </c>
      <c r="E315" s="14">
        <v>23300000</v>
      </c>
      <c r="F315" s="14">
        <f t="shared" si="20"/>
        <v>6990000</v>
      </c>
      <c r="G315" s="14">
        <v>24780</v>
      </c>
      <c r="H315" s="14">
        <f t="shared" si="21"/>
        <v>7434</v>
      </c>
      <c r="I315" s="14">
        <f t="shared" si="24"/>
        <v>5825000</v>
      </c>
      <c r="J315" s="14">
        <f t="shared" si="22"/>
        <v>1747500</v>
      </c>
      <c r="K315" s="11">
        <f t="shared" si="23"/>
        <v>4.4959539104659788E-2</v>
      </c>
    </row>
    <row r="316" spans="1:11" x14ac:dyDescent="0.3">
      <c r="A316" s="8" t="s">
        <v>407</v>
      </c>
      <c r="B316" s="8" t="s">
        <v>415</v>
      </c>
      <c r="C316" s="12" t="s">
        <v>7</v>
      </c>
      <c r="D316" s="10">
        <v>0.25</v>
      </c>
      <c r="E316" s="14">
        <v>13800000</v>
      </c>
      <c r="F316" s="14">
        <f t="shared" si="20"/>
        <v>4140000</v>
      </c>
      <c r="G316" s="14">
        <v>2500</v>
      </c>
      <c r="H316" s="14">
        <f t="shared" si="21"/>
        <v>750</v>
      </c>
      <c r="I316" s="14">
        <f t="shared" si="24"/>
        <v>3450000</v>
      </c>
      <c r="J316" s="14">
        <f t="shared" si="22"/>
        <v>1035000</v>
      </c>
      <c r="K316" s="11">
        <f t="shared" si="23"/>
        <v>2.6628396551257729E-2</v>
      </c>
    </row>
    <row r="317" spans="1:11" x14ac:dyDescent="0.3">
      <c r="A317" s="8" t="s">
        <v>407</v>
      </c>
      <c r="B317" s="8" t="s">
        <v>416</v>
      </c>
      <c r="C317" s="12" t="s">
        <v>7</v>
      </c>
      <c r="D317" s="10">
        <v>0.25</v>
      </c>
      <c r="E317" s="14">
        <v>12881480</v>
      </c>
      <c r="F317" s="14">
        <f t="shared" si="20"/>
        <v>3864444</v>
      </c>
      <c r="G317" s="14">
        <v>9232.5</v>
      </c>
      <c r="H317" s="14">
        <f t="shared" si="21"/>
        <v>2769.75</v>
      </c>
      <c r="I317" s="14">
        <f t="shared" si="24"/>
        <v>3220370</v>
      </c>
      <c r="J317" s="14">
        <f t="shared" si="22"/>
        <v>966111</v>
      </c>
      <c r="K317" s="11">
        <f t="shared" si="23"/>
        <v>2.4856025913557636E-2</v>
      </c>
    </row>
    <row r="318" spans="1:11" x14ac:dyDescent="0.3">
      <c r="A318" s="8" t="s">
        <v>407</v>
      </c>
      <c r="B318" s="8" t="s">
        <v>417</v>
      </c>
      <c r="C318" s="12" t="s">
        <v>7</v>
      </c>
      <c r="D318" s="10">
        <v>0.25</v>
      </c>
      <c r="E318" s="14">
        <v>11502600</v>
      </c>
      <c r="F318" s="14">
        <f t="shared" si="20"/>
        <v>3450780</v>
      </c>
      <c r="G318" s="14">
        <v>9876.6899999999987</v>
      </c>
      <c r="H318" s="14">
        <f t="shared" si="21"/>
        <v>2963.0069999999996</v>
      </c>
      <c r="I318" s="14">
        <f t="shared" si="24"/>
        <v>2875650</v>
      </c>
      <c r="J318" s="14">
        <f t="shared" si="22"/>
        <v>862695</v>
      </c>
      <c r="K318" s="11">
        <f t="shared" si="23"/>
        <v>2.2195347403659214E-2</v>
      </c>
    </row>
    <row r="319" spans="1:11" x14ac:dyDescent="0.3">
      <c r="A319" s="8" t="s">
        <v>407</v>
      </c>
      <c r="B319" s="8" t="s">
        <v>418</v>
      </c>
      <c r="C319" s="12" t="s">
        <v>7</v>
      </c>
      <c r="D319" s="10">
        <v>0.25</v>
      </c>
      <c r="E319" s="14">
        <v>9622000</v>
      </c>
      <c r="F319" s="14">
        <f t="shared" si="20"/>
        <v>2886600</v>
      </c>
      <c r="G319" s="14">
        <v>7434.25</v>
      </c>
      <c r="H319" s="14">
        <f t="shared" si="21"/>
        <v>2230.2750000000001</v>
      </c>
      <c r="I319" s="14">
        <f t="shared" si="24"/>
        <v>2405500</v>
      </c>
      <c r="J319" s="14">
        <f t="shared" si="22"/>
        <v>721650</v>
      </c>
      <c r="K319" s="11">
        <f t="shared" si="23"/>
        <v>1.8566553015666801E-2</v>
      </c>
    </row>
    <row r="320" spans="1:11" x14ac:dyDescent="0.3">
      <c r="A320" s="8" t="s">
        <v>407</v>
      </c>
      <c r="B320" s="8" t="s">
        <v>419</v>
      </c>
      <c r="C320" s="12" t="s">
        <v>7</v>
      </c>
      <c r="D320" s="10">
        <v>0.25</v>
      </c>
      <c r="E320" s="14">
        <v>9090000</v>
      </c>
      <c r="F320" s="14">
        <f t="shared" si="20"/>
        <v>2727000</v>
      </c>
      <c r="G320" s="14">
        <v>6458.5</v>
      </c>
      <c r="H320" s="14">
        <f t="shared" si="21"/>
        <v>1937.55</v>
      </c>
      <c r="I320" s="14">
        <f t="shared" si="24"/>
        <v>2272500</v>
      </c>
      <c r="J320" s="14">
        <f t="shared" si="22"/>
        <v>681750</v>
      </c>
      <c r="K320" s="11">
        <f t="shared" si="23"/>
        <v>1.7540009032676288E-2</v>
      </c>
    </row>
    <row r="321" spans="1:11" x14ac:dyDescent="0.3">
      <c r="A321" s="8" t="s">
        <v>407</v>
      </c>
      <c r="B321" s="8" t="s">
        <v>420</v>
      </c>
      <c r="C321" s="12" t="s">
        <v>7</v>
      </c>
      <c r="D321" s="10">
        <v>0.25</v>
      </c>
      <c r="E321" s="14">
        <v>8500000</v>
      </c>
      <c r="F321" s="14">
        <f t="shared" si="20"/>
        <v>2550000</v>
      </c>
      <c r="G321" s="14">
        <v>3400</v>
      </c>
      <c r="H321" s="14">
        <f t="shared" si="21"/>
        <v>1020</v>
      </c>
      <c r="I321" s="14">
        <f t="shared" si="24"/>
        <v>2125000</v>
      </c>
      <c r="J321" s="14">
        <f t="shared" si="22"/>
        <v>637500</v>
      </c>
      <c r="K321" s="11">
        <f t="shared" si="23"/>
        <v>1.6401548600412368E-2</v>
      </c>
    </row>
    <row r="322" spans="1:11" x14ac:dyDescent="0.3">
      <c r="A322" s="8" t="s">
        <v>407</v>
      </c>
      <c r="B322" s="8" t="s">
        <v>421</v>
      </c>
      <c r="C322" s="12" t="s">
        <v>7</v>
      </c>
      <c r="D322" s="10">
        <v>0.25</v>
      </c>
      <c r="E322" s="14">
        <v>7576400</v>
      </c>
      <c r="F322" s="14">
        <f t="shared" si="20"/>
        <v>2272920</v>
      </c>
      <c r="G322" s="14">
        <v>4924.66</v>
      </c>
      <c r="H322" s="14">
        <f t="shared" si="21"/>
        <v>1477.3979999999999</v>
      </c>
      <c r="I322" s="14">
        <f t="shared" si="24"/>
        <v>1894100</v>
      </c>
      <c r="J322" s="14">
        <f t="shared" si="22"/>
        <v>568230</v>
      </c>
      <c r="K322" s="11">
        <f t="shared" si="23"/>
        <v>1.4619375625431091E-2</v>
      </c>
    </row>
    <row r="323" spans="1:11" x14ac:dyDescent="0.3">
      <c r="A323" s="8" t="s">
        <v>407</v>
      </c>
      <c r="B323" s="8" t="s">
        <v>422</v>
      </c>
      <c r="C323" s="12" t="s">
        <v>7</v>
      </c>
      <c r="D323" s="10">
        <v>0.25</v>
      </c>
      <c r="E323" s="14">
        <v>4500000</v>
      </c>
      <c r="F323" s="14">
        <f t="shared" si="20"/>
        <v>1350000</v>
      </c>
      <c r="G323" s="14">
        <v>7500</v>
      </c>
      <c r="H323" s="14">
        <f t="shared" si="21"/>
        <v>2250</v>
      </c>
      <c r="I323" s="14">
        <f t="shared" si="24"/>
        <v>1125000</v>
      </c>
      <c r="J323" s="14">
        <f t="shared" si="22"/>
        <v>337500</v>
      </c>
      <c r="K323" s="11">
        <f t="shared" si="23"/>
        <v>8.6831727884536074E-3</v>
      </c>
    </row>
    <row r="324" spans="1:11" x14ac:dyDescent="0.3">
      <c r="A324" s="8" t="s">
        <v>407</v>
      </c>
      <c r="B324" s="8" t="s">
        <v>423</v>
      </c>
      <c r="C324" s="12" t="s">
        <v>7</v>
      </c>
      <c r="D324" s="10">
        <v>0.25</v>
      </c>
      <c r="E324" s="14">
        <v>4156250</v>
      </c>
      <c r="F324" s="14">
        <f t="shared" ref="F324:F387" si="25">E324*0.3</f>
        <v>1246875</v>
      </c>
      <c r="G324" s="14">
        <v>2701.56</v>
      </c>
      <c r="H324" s="14">
        <f t="shared" ref="H324:H387" si="26">G324*0.3</f>
        <v>810.46799999999996</v>
      </c>
      <c r="I324" s="14">
        <f t="shared" si="24"/>
        <v>1039062.5</v>
      </c>
      <c r="J324" s="14">
        <f t="shared" ref="J324:J387" si="27">I324*0.3</f>
        <v>311718.75</v>
      </c>
      <c r="K324" s="11">
        <f t="shared" ref="K324:K387" si="28">J324/$H$587</f>
        <v>8.0198748671134017E-3</v>
      </c>
    </row>
    <row r="325" spans="1:11" x14ac:dyDescent="0.3">
      <c r="A325" s="8" t="s">
        <v>407</v>
      </c>
      <c r="B325" s="8" t="s">
        <v>424</v>
      </c>
      <c r="C325" s="12" t="s">
        <v>7</v>
      </c>
      <c r="D325" s="10">
        <v>0.25</v>
      </c>
      <c r="E325" s="14">
        <v>4130000</v>
      </c>
      <c r="F325" s="14">
        <f t="shared" si="25"/>
        <v>1239000</v>
      </c>
      <c r="G325" s="14">
        <v>2684.5</v>
      </c>
      <c r="H325" s="14">
        <f t="shared" si="26"/>
        <v>805.35</v>
      </c>
      <c r="I325" s="14">
        <f t="shared" si="24"/>
        <v>1032500</v>
      </c>
      <c r="J325" s="14">
        <f t="shared" si="27"/>
        <v>309750</v>
      </c>
      <c r="K325" s="11">
        <f t="shared" si="28"/>
        <v>7.9692230258474224E-3</v>
      </c>
    </row>
    <row r="326" spans="1:11" x14ac:dyDescent="0.3">
      <c r="A326" s="8" t="s">
        <v>407</v>
      </c>
      <c r="B326" s="8" t="s">
        <v>425</v>
      </c>
      <c r="C326" s="12" t="s">
        <v>7</v>
      </c>
      <c r="D326" s="10">
        <v>0.25</v>
      </c>
      <c r="E326" s="14">
        <v>4000000</v>
      </c>
      <c r="F326" s="14">
        <f t="shared" si="25"/>
        <v>1200000</v>
      </c>
      <c r="G326" s="14">
        <v>2600</v>
      </c>
      <c r="H326" s="14">
        <f t="shared" si="26"/>
        <v>780</v>
      </c>
      <c r="I326" s="14">
        <f t="shared" ref="I326:I389" si="29">E326*D326</f>
        <v>1000000</v>
      </c>
      <c r="J326" s="14">
        <f t="shared" si="27"/>
        <v>300000</v>
      </c>
      <c r="K326" s="11">
        <f t="shared" si="28"/>
        <v>7.7183758119587619E-3</v>
      </c>
    </row>
    <row r="327" spans="1:11" x14ac:dyDescent="0.3">
      <c r="A327" s="8" t="s">
        <v>407</v>
      </c>
      <c r="B327" s="8" t="s">
        <v>426</v>
      </c>
      <c r="C327" s="12" t="s">
        <v>7</v>
      </c>
      <c r="D327" s="10">
        <v>0.25</v>
      </c>
      <c r="E327" s="14">
        <v>3100000</v>
      </c>
      <c r="F327" s="14">
        <f t="shared" si="25"/>
        <v>930000</v>
      </c>
      <c r="G327" s="14">
        <v>1860</v>
      </c>
      <c r="H327" s="14">
        <f t="shared" si="26"/>
        <v>558</v>
      </c>
      <c r="I327" s="14">
        <f t="shared" si="29"/>
        <v>775000</v>
      </c>
      <c r="J327" s="14">
        <f t="shared" si="27"/>
        <v>232500</v>
      </c>
      <c r="K327" s="11">
        <f t="shared" si="28"/>
        <v>5.9817412542680403E-3</v>
      </c>
    </row>
    <row r="328" spans="1:11" x14ac:dyDescent="0.3">
      <c r="A328" s="8" t="s">
        <v>407</v>
      </c>
      <c r="B328" s="8" t="s">
        <v>427</v>
      </c>
      <c r="C328" s="12" t="s">
        <v>7</v>
      </c>
      <c r="D328" s="10">
        <v>0.25</v>
      </c>
      <c r="E328" s="14">
        <v>3000000</v>
      </c>
      <c r="F328" s="14">
        <f t="shared" si="25"/>
        <v>900000</v>
      </c>
      <c r="G328" s="14">
        <v>2500</v>
      </c>
      <c r="H328" s="14">
        <f t="shared" si="26"/>
        <v>750</v>
      </c>
      <c r="I328" s="14">
        <f t="shared" si="29"/>
        <v>750000</v>
      </c>
      <c r="J328" s="14">
        <f t="shared" si="27"/>
        <v>225000</v>
      </c>
      <c r="K328" s="11">
        <f t="shared" si="28"/>
        <v>5.788781858969071E-3</v>
      </c>
    </row>
    <row r="329" spans="1:11" x14ac:dyDescent="0.3">
      <c r="A329" s="8" t="s">
        <v>407</v>
      </c>
      <c r="B329" s="8" t="s">
        <v>428</v>
      </c>
      <c r="C329" s="12" t="s">
        <v>7</v>
      </c>
      <c r="D329" s="10">
        <v>0.25</v>
      </c>
      <c r="E329" s="14">
        <v>3000000</v>
      </c>
      <c r="F329" s="14">
        <f t="shared" si="25"/>
        <v>900000</v>
      </c>
      <c r="G329" s="14">
        <v>2500</v>
      </c>
      <c r="H329" s="14">
        <f t="shared" si="26"/>
        <v>750</v>
      </c>
      <c r="I329" s="14">
        <f t="shared" si="29"/>
        <v>750000</v>
      </c>
      <c r="J329" s="14">
        <f t="shared" si="27"/>
        <v>225000</v>
      </c>
      <c r="K329" s="11">
        <f t="shared" si="28"/>
        <v>5.788781858969071E-3</v>
      </c>
    </row>
    <row r="330" spans="1:11" x14ac:dyDescent="0.3">
      <c r="A330" s="8" t="s">
        <v>407</v>
      </c>
      <c r="B330" s="8" t="s">
        <v>429</v>
      </c>
      <c r="C330" s="12" t="s">
        <v>7</v>
      </c>
      <c r="D330" s="10">
        <v>0.25</v>
      </c>
      <c r="E330" s="14">
        <v>1000000</v>
      </c>
      <c r="F330" s="14">
        <f t="shared" si="25"/>
        <v>300000</v>
      </c>
      <c r="G330" s="14">
        <v>2500</v>
      </c>
      <c r="H330" s="14">
        <f t="shared" si="26"/>
        <v>750</v>
      </c>
      <c r="I330" s="14">
        <f t="shared" si="29"/>
        <v>250000</v>
      </c>
      <c r="J330" s="14">
        <f t="shared" si="27"/>
        <v>75000</v>
      </c>
      <c r="K330" s="11">
        <f t="shared" si="28"/>
        <v>1.9295939529896905E-3</v>
      </c>
    </row>
    <row r="331" spans="1:11" x14ac:dyDescent="0.3">
      <c r="A331" s="8" t="s">
        <v>430</v>
      </c>
      <c r="B331" s="8" t="s">
        <v>430</v>
      </c>
      <c r="C331" s="12" t="s">
        <v>7</v>
      </c>
      <c r="D331" s="10">
        <v>0.25</v>
      </c>
      <c r="E331" s="14">
        <v>27820147715.220001</v>
      </c>
      <c r="F331" s="14">
        <f t="shared" si="25"/>
        <v>8346044314.566</v>
      </c>
      <c r="G331" s="14">
        <v>6373864.4989999998</v>
      </c>
      <c r="H331" s="14">
        <f t="shared" si="26"/>
        <v>1912159.3496999999</v>
      </c>
      <c r="I331" s="14">
        <f t="shared" si="29"/>
        <v>6955036928.8050003</v>
      </c>
      <c r="J331" s="14">
        <f t="shared" si="27"/>
        <v>2086511078.6415</v>
      </c>
      <c r="K331" s="11">
        <f t="shared" si="28"/>
        <v>53.681588802568463</v>
      </c>
    </row>
    <row r="332" spans="1:11" x14ac:dyDescent="0.3">
      <c r="A332" s="8" t="s">
        <v>430</v>
      </c>
      <c r="B332" s="8" t="s">
        <v>431</v>
      </c>
      <c r="C332" s="12" t="s">
        <v>7</v>
      </c>
      <c r="D332" s="10">
        <v>0.25</v>
      </c>
      <c r="E332" s="14">
        <v>1375383670</v>
      </c>
      <c r="F332" s="14">
        <f t="shared" si="25"/>
        <v>412615101</v>
      </c>
      <c r="G332" s="14">
        <v>1040173.41</v>
      </c>
      <c r="H332" s="14">
        <f t="shared" si="26"/>
        <v>312052.02299999999</v>
      </c>
      <c r="I332" s="14">
        <f t="shared" si="29"/>
        <v>343845917.5</v>
      </c>
      <c r="J332" s="14">
        <f t="shared" si="27"/>
        <v>103153775.25</v>
      </c>
      <c r="K332" s="11">
        <f t="shared" si="28"/>
        <v>2.6539320126727679</v>
      </c>
    </row>
    <row r="333" spans="1:11" x14ac:dyDescent="0.3">
      <c r="A333" s="8" t="s">
        <v>430</v>
      </c>
      <c r="B333" s="8" t="s">
        <v>184</v>
      </c>
      <c r="C333" s="12" t="s">
        <v>7</v>
      </c>
      <c r="D333" s="10">
        <v>0.25</v>
      </c>
      <c r="E333" s="14">
        <v>1274370460</v>
      </c>
      <c r="F333" s="14">
        <f t="shared" si="25"/>
        <v>382311138</v>
      </c>
      <c r="G333" s="14">
        <v>607218.39</v>
      </c>
      <c r="H333" s="14">
        <f t="shared" si="26"/>
        <v>182165.51699999999</v>
      </c>
      <c r="I333" s="14">
        <f t="shared" si="29"/>
        <v>318592615</v>
      </c>
      <c r="J333" s="14">
        <f t="shared" si="27"/>
        <v>95577784.5</v>
      </c>
      <c r="K333" s="11">
        <f t="shared" si="28"/>
        <v>2.45901753348469</v>
      </c>
    </row>
    <row r="334" spans="1:11" x14ac:dyDescent="0.3">
      <c r="A334" s="8" t="s">
        <v>430</v>
      </c>
      <c r="B334" s="8" t="s">
        <v>432</v>
      </c>
      <c r="C334" s="12" t="s">
        <v>7</v>
      </c>
      <c r="D334" s="10">
        <v>0.25</v>
      </c>
      <c r="E334" s="14">
        <v>342745010</v>
      </c>
      <c r="F334" s="14">
        <f t="shared" si="25"/>
        <v>102823503</v>
      </c>
      <c r="G334" s="14">
        <v>234160.08</v>
      </c>
      <c r="H334" s="14">
        <f t="shared" si="26"/>
        <v>70248.02399999999</v>
      </c>
      <c r="I334" s="14">
        <f t="shared" si="29"/>
        <v>85686252.5</v>
      </c>
      <c r="J334" s="14">
        <f t="shared" si="27"/>
        <v>25705875.75</v>
      </c>
      <c r="K334" s="11">
        <f t="shared" si="28"/>
        <v>0.66135869871339104</v>
      </c>
    </row>
    <row r="335" spans="1:11" x14ac:dyDescent="0.3">
      <c r="A335" s="8" t="s">
        <v>430</v>
      </c>
      <c r="B335" s="8" t="s">
        <v>433</v>
      </c>
      <c r="C335" s="12" t="s">
        <v>7</v>
      </c>
      <c r="D335" s="10">
        <v>0.25</v>
      </c>
      <c r="E335" s="14">
        <v>123119828</v>
      </c>
      <c r="F335" s="14">
        <f t="shared" si="25"/>
        <v>36935948.399999999</v>
      </c>
      <c r="G335" s="14">
        <v>71730.69</v>
      </c>
      <c r="H335" s="14">
        <f t="shared" si="26"/>
        <v>21519.206999999999</v>
      </c>
      <c r="I335" s="14">
        <f t="shared" si="29"/>
        <v>30779957</v>
      </c>
      <c r="J335" s="14">
        <f t="shared" si="27"/>
        <v>9233987.0999999996</v>
      </c>
      <c r="K335" s="11">
        <f t="shared" si="28"/>
        <v>0.23757127560193075</v>
      </c>
    </row>
    <row r="336" spans="1:11" x14ac:dyDescent="0.3">
      <c r="A336" s="8" t="s">
        <v>430</v>
      </c>
      <c r="B336" s="8" t="s">
        <v>434</v>
      </c>
      <c r="C336" s="12" t="s">
        <v>7</v>
      </c>
      <c r="D336" s="10">
        <v>0.25</v>
      </c>
      <c r="E336" s="14">
        <v>71085080</v>
      </c>
      <c r="F336" s="14">
        <f t="shared" si="25"/>
        <v>21325524</v>
      </c>
      <c r="G336" s="14">
        <v>55320.77</v>
      </c>
      <c r="H336" s="14">
        <f t="shared" si="26"/>
        <v>16596.231</v>
      </c>
      <c r="I336" s="14">
        <f t="shared" si="29"/>
        <v>17771270</v>
      </c>
      <c r="J336" s="14">
        <f t="shared" si="27"/>
        <v>5331381</v>
      </c>
      <c r="K336" s="11">
        <f t="shared" si="28"/>
        <v>0.13716534051578838</v>
      </c>
    </row>
    <row r="337" spans="1:11" x14ac:dyDescent="0.3">
      <c r="A337" s="8" t="s">
        <v>430</v>
      </c>
      <c r="B337" s="8" t="s">
        <v>435</v>
      </c>
      <c r="C337" s="12" t="s">
        <v>7</v>
      </c>
      <c r="D337" s="10">
        <v>0.25</v>
      </c>
      <c r="E337" s="14">
        <v>67802880</v>
      </c>
      <c r="F337" s="14">
        <f t="shared" si="25"/>
        <v>20340864</v>
      </c>
      <c r="G337" s="14">
        <v>72167.88</v>
      </c>
      <c r="H337" s="14">
        <f t="shared" si="26"/>
        <v>21650.364000000001</v>
      </c>
      <c r="I337" s="14">
        <f t="shared" si="29"/>
        <v>16950720</v>
      </c>
      <c r="J337" s="14">
        <f t="shared" si="27"/>
        <v>5085216</v>
      </c>
      <c r="K337" s="11">
        <f t="shared" si="28"/>
        <v>0.13083202724328563</v>
      </c>
    </row>
    <row r="338" spans="1:11" x14ac:dyDescent="0.3">
      <c r="A338" s="8" t="s">
        <v>430</v>
      </c>
      <c r="B338" s="8" t="s">
        <v>436</v>
      </c>
      <c r="C338" s="12" t="s">
        <v>7</v>
      </c>
      <c r="D338" s="10">
        <v>0.25</v>
      </c>
      <c r="E338" s="14">
        <v>67665180</v>
      </c>
      <c r="F338" s="14">
        <f t="shared" si="25"/>
        <v>20299554</v>
      </c>
      <c r="G338" s="14">
        <v>41870.15</v>
      </c>
      <c r="H338" s="14">
        <f t="shared" si="26"/>
        <v>12561.045</v>
      </c>
      <c r="I338" s="14">
        <f t="shared" si="29"/>
        <v>16916295</v>
      </c>
      <c r="J338" s="14">
        <f t="shared" si="27"/>
        <v>5074888.5</v>
      </c>
      <c r="K338" s="11">
        <f t="shared" si="28"/>
        <v>0.13056632215595895</v>
      </c>
    </row>
    <row r="339" spans="1:11" x14ac:dyDescent="0.3">
      <c r="A339" s="8" t="s">
        <v>430</v>
      </c>
      <c r="B339" s="8" t="s">
        <v>437</v>
      </c>
      <c r="C339" s="12" t="s">
        <v>7</v>
      </c>
      <c r="D339" s="10">
        <v>0.25</v>
      </c>
      <c r="E339" s="14">
        <v>54328990</v>
      </c>
      <c r="F339" s="14">
        <f t="shared" si="25"/>
        <v>16298697</v>
      </c>
      <c r="G339" s="14">
        <v>37706.97</v>
      </c>
      <c r="H339" s="14">
        <f t="shared" si="26"/>
        <v>11312.091</v>
      </c>
      <c r="I339" s="14">
        <f t="shared" si="29"/>
        <v>13582247.5</v>
      </c>
      <c r="J339" s="14">
        <f t="shared" si="27"/>
        <v>4074674.25</v>
      </c>
      <c r="K339" s="11">
        <f t="shared" si="28"/>
        <v>0.10483289057603737</v>
      </c>
    </row>
    <row r="340" spans="1:11" x14ac:dyDescent="0.3">
      <c r="A340" s="8" t="s">
        <v>430</v>
      </c>
      <c r="B340" s="8" t="s">
        <v>438</v>
      </c>
      <c r="C340" s="12" t="s">
        <v>7</v>
      </c>
      <c r="D340" s="10">
        <v>0.25</v>
      </c>
      <c r="E340" s="14">
        <v>51954000</v>
      </c>
      <c r="F340" s="14">
        <f t="shared" si="25"/>
        <v>15586200</v>
      </c>
      <c r="G340" s="14">
        <v>33770.1</v>
      </c>
      <c r="H340" s="14">
        <f t="shared" si="26"/>
        <v>10131.029999999999</v>
      </c>
      <c r="I340" s="14">
        <f t="shared" si="29"/>
        <v>12988500</v>
      </c>
      <c r="J340" s="14">
        <f t="shared" si="27"/>
        <v>3896550</v>
      </c>
      <c r="K340" s="11">
        <f t="shared" si="28"/>
        <v>0.10025012423362638</v>
      </c>
    </row>
    <row r="341" spans="1:11" x14ac:dyDescent="0.3">
      <c r="A341" s="8" t="s">
        <v>430</v>
      </c>
      <c r="B341" s="8" t="s">
        <v>439</v>
      </c>
      <c r="C341" s="12" t="s">
        <v>7</v>
      </c>
      <c r="D341" s="10">
        <v>0.25</v>
      </c>
      <c r="E341" s="14">
        <v>34937940</v>
      </c>
      <c r="F341" s="14">
        <f t="shared" si="25"/>
        <v>10481382</v>
      </c>
      <c r="G341" s="14">
        <v>28342.39</v>
      </c>
      <c r="H341" s="14">
        <f t="shared" si="26"/>
        <v>8502.7169999999987</v>
      </c>
      <c r="I341" s="14">
        <f t="shared" si="29"/>
        <v>8734485</v>
      </c>
      <c r="J341" s="14">
        <f t="shared" si="27"/>
        <v>2620345.5</v>
      </c>
      <c r="K341" s="11">
        <f t="shared" si="28"/>
        <v>6.7416037753916622E-2</v>
      </c>
    </row>
    <row r="342" spans="1:11" x14ac:dyDescent="0.3">
      <c r="A342" s="8" t="s">
        <v>430</v>
      </c>
      <c r="B342" s="8" t="s">
        <v>440</v>
      </c>
      <c r="C342" s="12" t="s">
        <v>7</v>
      </c>
      <c r="D342" s="10">
        <v>0.25</v>
      </c>
      <c r="E342" s="14">
        <v>15429400</v>
      </c>
      <c r="F342" s="14">
        <f t="shared" si="25"/>
        <v>4628820</v>
      </c>
      <c r="G342" s="14">
        <v>9146.869999999999</v>
      </c>
      <c r="H342" s="14">
        <f t="shared" si="26"/>
        <v>2744.0609999999997</v>
      </c>
      <c r="I342" s="14">
        <f t="shared" si="29"/>
        <v>3857350</v>
      </c>
      <c r="J342" s="14">
        <f t="shared" si="27"/>
        <v>1157205</v>
      </c>
      <c r="K342" s="11">
        <f t="shared" si="28"/>
        <v>2.9772476938259129E-2</v>
      </c>
    </row>
    <row r="343" spans="1:11" x14ac:dyDescent="0.3">
      <c r="A343" s="8" t="s">
        <v>430</v>
      </c>
      <c r="B343" s="8" t="s">
        <v>441</v>
      </c>
      <c r="C343" s="12" t="s">
        <v>7</v>
      </c>
      <c r="D343" s="10">
        <v>0.25</v>
      </c>
      <c r="E343" s="14">
        <v>12958210</v>
      </c>
      <c r="F343" s="14">
        <f t="shared" si="25"/>
        <v>3887463</v>
      </c>
      <c r="G343" s="14">
        <v>13479.43</v>
      </c>
      <c r="H343" s="14">
        <f t="shared" si="26"/>
        <v>4043.8289999999997</v>
      </c>
      <c r="I343" s="14">
        <f t="shared" si="29"/>
        <v>3239552.5</v>
      </c>
      <c r="J343" s="14">
        <f t="shared" si="27"/>
        <v>971865.75</v>
      </c>
      <c r="K343" s="11">
        <f t="shared" si="28"/>
        <v>2.5004083657570536E-2</v>
      </c>
    </row>
    <row r="344" spans="1:11" x14ac:dyDescent="0.3">
      <c r="A344" s="8" t="s">
        <v>430</v>
      </c>
      <c r="B344" s="8" t="s">
        <v>442</v>
      </c>
      <c r="C344" s="12" t="s">
        <v>7</v>
      </c>
      <c r="D344" s="10">
        <v>0.25</v>
      </c>
      <c r="E344" s="14">
        <v>9240000</v>
      </c>
      <c r="F344" s="14">
        <f t="shared" si="25"/>
        <v>2772000</v>
      </c>
      <c r="G344" s="14">
        <v>7754.75</v>
      </c>
      <c r="H344" s="14">
        <f t="shared" si="26"/>
        <v>2326.4249999999997</v>
      </c>
      <c r="I344" s="14">
        <f t="shared" si="29"/>
        <v>2310000</v>
      </c>
      <c r="J344" s="14">
        <f t="shared" si="27"/>
        <v>693000</v>
      </c>
      <c r="K344" s="11">
        <f t="shared" si="28"/>
        <v>1.7829448125624741E-2</v>
      </c>
    </row>
    <row r="345" spans="1:11" x14ac:dyDescent="0.3">
      <c r="A345" s="8" t="s">
        <v>430</v>
      </c>
      <c r="B345" s="8" t="s">
        <v>443</v>
      </c>
      <c r="C345" s="12" t="s">
        <v>7</v>
      </c>
      <c r="D345" s="10">
        <v>0.25</v>
      </c>
      <c r="E345" s="14">
        <v>7592900</v>
      </c>
      <c r="F345" s="14">
        <f t="shared" si="25"/>
        <v>2277870</v>
      </c>
      <c r="G345" s="14">
        <v>10001.14</v>
      </c>
      <c r="H345" s="14">
        <f t="shared" si="26"/>
        <v>3000.3419999999996</v>
      </c>
      <c r="I345" s="14">
        <f t="shared" si="29"/>
        <v>1898225</v>
      </c>
      <c r="J345" s="14">
        <f t="shared" si="27"/>
        <v>569467.5</v>
      </c>
      <c r="K345" s="11">
        <f t="shared" si="28"/>
        <v>1.465121392565542E-2</v>
      </c>
    </row>
    <row r="346" spans="1:11" x14ac:dyDescent="0.3">
      <c r="A346" s="8" t="s">
        <v>430</v>
      </c>
      <c r="B346" s="8" t="s">
        <v>444</v>
      </c>
      <c r="C346" s="12" t="s">
        <v>7</v>
      </c>
      <c r="D346" s="10">
        <v>0.25</v>
      </c>
      <c r="E346" s="14">
        <v>6800000</v>
      </c>
      <c r="F346" s="14">
        <f t="shared" si="25"/>
        <v>2040000</v>
      </c>
      <c r="G346" s="14">
        <v>6270</v>
      </c>
      <c r="H346" s="14">
        <f t="shared" si="26"/>
        <v>1881</v>
      </c>
      <c r="I346" s="14">
        <f t="shared" si="29"/>
        <v>1700000</v>
      </c>
      <c r="J346" s="14">
        <f t="shared" si="27"/>
        <v>510000</v>
      </c>
      <c r="K346" s="11">
        <f t="shared" si="28"/>
        <v>1.3121238880329894E-2</v>
      </c>
    </row>
    <row r="347" spans="1:11" x14ac:dyDescent="0.3">
      <c r="A347" s="8" t="s">
        <v>430</v>
      </c>
      <c r="B347" s="8" t="s">
        <v>445</v>
      </c>
      <c r="C347" s="12" t="s">
        <v>7</v>
      </c>
      <c r="D347" s="10">
        <v>0.25</v>
      </c>
      <c r="E347" s="14">
        <v>5910500</v>
      </c>
      <c r="F347" s="14">
        <f t="shared" si="25"/>
        <v>1773150</v>
      </c>
      <c r="G347" s="14">
        <v>6441.07</v>
      </c>
      <c r="H347" s="14">
        <f t="shared" si="26"/>
        <v>1932.3209999999999</v>
      </c>
      <c r="I347" s="14">
        <f t="shared" si="29"/>
        <v>1477625</v>
      </c>
      <c r="J347" s="14">
        <f t="shared" si="27"/>
        <v>443287.5</v>
      </c>
      <c r="K347" s="11">
        <f t="shared" si="28"/>
        <v>1.1404865059145565E-2</v>
      </c>
    </row>
    <row r="348" spans="1:11" x14ac:dyDescent="0.3">
      <c r="A348" s="8" t="s">
        <v>430</v>
      </c>
      <c r="B348" s="8" t="s">
        <v>446</v>
      </c>
      <c r="C348" s="12" t="s">
        <v>7</v>
      </c>
      <c r="D348" s="10">
        <v>0.25</v>
      </c>
      <c r="E348" s="14">
        <v>5800000</v>
      </c>
      <c r="F348" s="14">
        <f t="shared" si="25"/>
        <v>1740000</v>
      </c>
      <c r="G348" s="14">
        <v>4320</v>
      </c>
      <c r="H348" s="14">
        <f t="shared" si="26"/>
        <v>1296</v>
      </c>
      <c r="I348" s="14">
        <f t="shared" si="29"/>
        <v>1450000</v>
      </c>
      <c r="J348" s="14">
        <f t="shared" si="27"/>
        <v>435000</v>
      </c>
      <c r="K348" s="11">
        <f t="shared" si="28"/>
        <v>1.1191644927340205E-2</v>
      </c>
    </row>
    <row r="349" spans="1:11" x14ac:dyDescent="0.3">
      <c r="A349" s="8" t="s">
        <v>430</v>
      </c>
      <c r="B349" s="8" t="s">
        <v>447</v>
      </c>
      <c r="C349" s="12" t="s">
        <v>7</v>
      </c>
      <c r="D349" s="10">
        <v>0.25</v>
      </c>
      <c r="E349" s="14">
        <v>1000000</v>
      </c>
      <c r="F349" s="14">
        <f t="shared" si="25"/>
        <v>300000</v>
      </c>
      <c r="G349" s="14">
        <v>2500</v>
      </c>
      <c r="H349" s="14">
        <f t="shared" si="26"/>
        <v>750</v>
      </c>
      <c r="I349" s="14">
        <f t="shared" si="29"/>
        <v>250000</v>
      </c>
      <c r="J349" s="14">
        <f t="shared" si="27"/>
        <v>75000</v>
      </c>
      <c r="K349" s="11">
        <f t="shared" si="28"/>
        <v>1.9295939529896905E-3</v>
      </c>
    </row>
    <row r="350" spans="1:11" x14ac:dyDescent="0.3">
      <c r="A350" s="8" t="s">
        <v>448</v>
      </c>
      <c r="B350" s="8" t="s">
        <v>448</v>
      </c>
      <c r="C350" s="12" t="s">
        <v>7</v>
      </c>
      <c r="D350" s="10">
        <v>0.25</v>
      </c>
      <c r="E350" s="14">
        <v>3255000</v>
      </c>
      <c r="F350" s="14">
        <f t="shared" si="25"/>
        <v>976500</v>
      </c>
      <c r="G350" s="14">
        <v>1953</v>
      </c>
      <c r="H350" s="14">
        <f t="shared" si="26"/>
        <v>585.9</v>
      </c>
      <c r="I350" s="14">
        <f t="shared" si="29"/>
        <v>813750</v>
      </c>
      <c r="J350" s="14">
        <f t="shared" si="27"/>
        <v>244125</v>
      </c>
      <c r="K350" s="11">
        <f t="shared" si="28"/>
        <v>6.2808283169814424E-3</v>
      </c>
    </row>
    <row r="351" spans="1:11" x14ac:dyDescent="0.3">
      <c r="A351" s="8" t="s">
        <v>458</v>
      </c>
      <c r="B351" s="8" t="s">
        <v>459</v>
      </c>
      <c r="C351" s="12" t="s">
        <v>7</v>
      </c>
      <c r="D351" s="10">
        <v>0.25</v>
      </c>
      <c r="E351" s="14">
        <v>1120564393.95</v>
      </c>
      <c r="F351" s="14">
        <f t="shared" si="25"/>
        <v>336169318.185</v>
      </c>
      <c r="G351" s="14">
        <v>160614.23000000001</v>
      </c>
      <c r="H351" s="14">
        <f t="shared" si="26"/>
        <v>48184.269</v>
      </c>
      <c r="I351" s="14">
        <f t="shared" si="29"/>
        <v>280141098.48750001</v>
      </c>
      <c r="J351" s="14">
        <f t="shared" si="27"/>
        <v>84042329.546250001</v>
      </c>
      <c r="K351" s="11">
        <f t="shared" si="28"/>
        <v>2.1622342785014772</v>
      </c>
    </row>
    <row r="352" spans="1:11" x14ac:dyDescent="0.3">
      <c r="A352" s="8" t="s">
        <v>458</v>
      </c>
      <c r="B352" s="8" t="s">
        <v>458</v>
      </c>
      <c r="C352" s="12" t="s">
        <v>7</v>
      </c>
      <c r="D352" s="10">
        <v>0.25</v>
      </c>
      <c r="E352" s="14">
        <v>14308270</v>
      </c>
      <c r="F352" s="14">
        <f t="shared" si="25"/>
        <v>4292481</v>
      </c>
      <c r="G352" s="14">
        <v>12152.38</v>
      </c>
      <c r="H352" s="14">
        <f t="shared" si="26"/>
        <v>3645.7139999999995</v>
      </c>
      <c r="I352" s="14">
        <f t="shared" si="29"/>
        <v>3577067.5</v>
      </c>
      <c r="J352" s="14">
        <f t="shared" si="27"/>
        <v>1073120.25</v>
      </c>
      <c r="K352" s="11">
        <f t="shared" si="28"/>
        <v>2.7609151269743799E-2</v>
      </c>
    </row>
    <row r="353" spans="1:11" x14ac:dyDescent="0.3">
      <c r="A353" s="8" t="s">
        <v>469</v>
      </c>
      <c r="B353" s="8" t="s">
        <v>470</v>
      </c>
      <c r="C353" s="12" t="s">
        <v>7</v>
      </c>
      <c r="D353" s="10">
        <v>0.25</v>
      </c>
      <c r="E353" s="14">
        <v>448750000</v>
      </c>
      <c r="F353" s="14">
        <f t="shared" si="25"/>
        <v>134625000</v>
      </c>
      <c r="G353" s="14">
        <v>101305</v>
      </c>
      <c r="H353" s="14">
        <f t="shared" si="26"/>
        <v>30391.5</v>
      </c>
      <c r="I353" s="14">
        <f t="shared" si="29"/>
        <v>112187500</v>
      </c>
      <c r="J353" s="14">
        <f t="shared" si="27"/>
        <v>33656250</v>
      </c>
      <c r="K353" s="11">
        <f t="shared" si="28"/>
        <v>0.86590528640412356</v>
      </c>
    </row>
    <row r="354" spans="1:11" x14ac:dyDescent="0.3">
      <c r="A354" s="8" t="s">
        <v>469</v>
      </c>
      <c r="B354" s="8" t="s">
        <v>469</v>
      </c>
      <c r="C354" s="12" t="s">
        <v>7</v>
      </c>
      <c r="D354" s="10">
        <v>0.25</v>
      </c>
      <c r="E354" s="14">
        <v>334093774.45999998</v>
      </c>
      <c r="F354" s="14">
        <f t="shared" si="25"/>
        <v>100228132.33799998</v>
      </c>
      <c r="G354" s="14">
        <v>265257.28000000003</v>
      </c>
      <c r="H354" s="14">
        <f t="shared" si="26"/>
        <v>79577.184000000008</v>
      </c>
      <c r="I354" s="14">
        <f t="shared" si="29"/>
        <v>83523443.614999995</v>
      </c>
      <c r="J354" s="14">
        <f t="shared" si="27"/>
        <v>25057033.084499996</v>
      </c>
      <c r="K354" s="11">
        <f t="shared" si="28"/>
        <v>0.64466532692951739</v>
      </c>
    </row>
    <row r="355" spans="1:11" x14ac:dyDescent="0.3">
      <c r="A355" s="8" t="s">
        <v>469</v>
      </c>
      <c r="B355" s="8" t="s">
        <v>471</v>
      </c>
      <c r="C355" s="12" t="s">
        <v>7</v>
      </c>
      <c r="D355" s="10">
        <v>0.25</v>
      </c>
      <c r="E355" s="14">
        <v>143773550</v>
      </c>
      <c r="F355" s="14">
        <f t="shared" si="25"/>
        <v>43132065</v>
      </c>
      <c r="G355" s="14">
        <v>67020</v>
      </c>
      <c r="H355" s="14">
        <f t="shared" si="26"/>
        <v>20106</v>
      </c>
      <c r="I355" s="14">
        <f t="shared" si="29"/>
        <v>35943387.5</v>
      </c>
      <c r="J355" s="14">
        <f t="shared" si="27"/>
        <v>10783016.25</v>
      </c>
      <c r="K355" s="11">
        <f t="shared" si="28"/>
        <v>0.27742457267986093</v>
      </c>
    </row>
    <row r="356" spans="1:11" x14ac:dyDescent="0.3">
      <c r="A356" s="8" t="s">
        <v>469</v>
      </c>
      <c r="B356" s="8" t="s">
        <v>472</v>
      </c>
      <c r="C356" s="12" t="s">
        <v>7</v>
      </c>
      <c r="D356" s="10">
        <v>0.25</v>
      </c>
      <c r="E356" s="14">
        <v>114507330</v>
      </c>
      <c r="F356" s="14">
        <f t="shared" si="25"/>
        <v>34352199</v>
      </c>
      <c r="G356" s="14">
        <v>125394.52</v>
      </c>
      <c r="H356" s="14">
        <f t="shared" si="26"/>
        <v>37618.356</v>
      </c>
      <c r="I356" s="14">
        <f t="shared" si="29"/>
        <v>28626832.5</v>
      </c>
      <c r="J356" s="14">
        <f t="shared" si="27"/>
        <v>8588049.75</v>
      </c>
      <c r="K356" s="11">
        <f t="shared" si="28"/>
        <v>0.22095265154099497</v>
      </c>
    </row>
    <row r="357" spans="1:11" x14ac:dyDescent="0.3">
      <c r="A357" s="8" t="s">
        <v>469</v>
      </c>
      <c r="B357" s="8" t="s">
        <v>473</v>
      </c>
      <c r="C357" s="12" t="s">
        <v>7</v>
      </c>
      <c r="D357" s="10">
        <v>0.25</v>
      </c>
      <c r="E357" s="14">
        <v>35576480</v>
      </c>
      <c r="F357" s="14">
        <f t="shared" si="25"/>
        <v>10672944</v>
      </c>
      <c r="G357" s="14">
        <v>41118.49</v>
      </c>
      <c r="H357" s="14">
        <f t="shared" si="26"/>
        <v>12335.546999999999</v>
      </c>
      <c r="I357" s="14">
        <f t="shared" si="29"/>
        <v>8894120</v>
      </c>
      <c r="J357" s="14">
        <f t="shared" si="27"/>
        <v>2668236</v>
      </c>
      <c r="K357" s="11">
        <f t="shared" si="28"/>
        <v>6.8648160676658659E-2</v>
      </c>
    </row>
    <row r="358" spans="1:11" x14ac:dyDescent="0.3">
      <c r="A358" s="8" t="s">
        <v>469</v>
      </c>
      <c r="B358" s="8" t="s">
        <v>474</v>
      </c>
      <c r="C358" s="12" t="s">
        <v>7</v>
      </c>
      <c r="D358" s="10">
        <v>0.25</v>
      </c>
      <c r="E358" s="14">
        <v>33406100</v>
      </c>
      <c r="F358" s="14">
        <f t="shared" si="25"/>
        <v>10021830</v>
      </c>
      <c r="G358" s="14">
        <v>14077.951999999999</v>
      </c>
      <c r="H358" s="14">
        <f t="shared" si="26"/>
        <v>4223.3855999999996</v>
      </c>
      <c r="I358" s="14">
        <f t="shared" si="29"/>
        <v>8351525</v>
      </c>
      <c r="J358" s="14">
        <f t="shared" si="27"/>
        <v>2505457.5</v>
      </c>
      <c r="K358" s="11">
        <f t="shared" si="28"/>
        <v>6.4460208552968898E-2</v>
      </c>
    </row>
    <row r="359" spans="1:11" x14ac:dyDescent="0.3">
      <c r="A359" s="8" t="s">
        <v>469</v>
      </c>
      <c r="B359" s="8" t="s">
        <v>475</v>
      </c>
      <c r="C359" s="12" t="s">
        <v>7</v>
      </c>
      <c r="D359" s="10">
        <v>0.25</v>
      </c>
      <c r="E359" s="14">
        <v>27101150</v>
      </c>
      <c r="F359" s="14">
        <f t="shared" si="25"/>
        <v>8130345</v>
      </c>
      <c r="G359" s="14">
        <v>21289.82</v>
      </c>
      <c r="H359" s="14">
        <f t="shared" si="26"/>
        <v>6386.9459999999999</v>
      </c>
      <c r="I359" s="14">
        <f t="shared" si="29"/>
        <v>6775287.5</v>
      </c>
      <c r="J359" s="14">
        <f t="shared" si="27"/>
        <v>2032586.25</v>
      </c>
      <c r="K359" s="11">
        <f t="shared" si="28"/>
        <v>5.229421515906655E-2</v>
      </c>
    </row>
    <row r="360" spans="1:11" x14ac:dyDescent="0.3">
      <c r="A360" s="8" t="s">
        <v>469</v>
      </c>
      <c r="B360" s="8" t="s">
        <v>476</v>
      </c>
      <c r="C360" s="12" t="s">
        <v>7</v>
      </c>
      <c r="D360" s="10">
        <v>0.25</v>
      </c>
      <c r="E360" s="14">
        <v>25945000</v>
      </c>
      <c r="F360" s="14">
        <f t="shared" si="25"/>
        <v>7783500</v>
      </c>
      <c r="G360" s="14">
        <v>25450.25</v>
      </c>
      <c r="H360" s="14">
        <f t="shared" si="26"/>
        <v>7635.0749999999998</v>
      </c>
      <c r="I360" s="14">
        <f t="shared" si="29"/>
        <v>6486250</v>
      </c>
      <c r="J360" s="14">
        <f t="shared" si="27"/>
        <v>1945875</v>
      </c>
      <c r="K360" s="11">
        <f t="shared" si="28"/>
        <v>5.0063315110317516E-2</v>
      </c>
    </row>
    <row r="361" spans="1:11" x14ac:dyDescent="0.3">
      <c r="A361" s="8" t="s">
        <v>469</v>
      </c>
      <c r="B361" s="8" t="s">
        <v>477</v>
      </c>
      <c r="C361" s="12" t="s">
        <v>7</v>
      </c>
      <c r="D361" s="10">
        <v>0.25</v>
      </c>
      <c r="E361" s="14">
        <v>21691840</v>
      </c>
      <c r="F361" s="14">
        <f t="shared" si="25"/>
        <v>6507552</v>
      </c>
      <c r="G361" s="14">
        <v>24619.200000000001</v>
      </c>
      <c r="H361" s="14">
        <f t="shared" si="26"/>
        <v>7385.76</v>
      </c>
      <c r="I361" s="14">
        <f t="shared" si="29"/>
        <v>5422960</v>
      </c>
      <c r="J361" s="14">
        <f t="shared" si="27"/>
        <v>1626888</v>
      </c>
      <c r="K361" s="11">
        <f t="shared" si="28"/>
        <v>4.1856443293219886E-2</v>
      </c>
    </row>
    <row r="362" spans="1:11" x14ac:dyDescent="0.3">
      <c r="A362" s="8" t="s">
        <v>469</v>
      </c>
      <c r="B362" s="8" t="s">
        <v>478</v>
      </c>
      <c r="C362" s="12" t="s">
        <v>7</v>
      </c>
      <c r="D362" s="10">
        <v>0.25</v>
      </c>
      <c r="E362" s="14">
        <v>13190890</v>
      </c>
      <c r="F362" s="14">
        <f t="shared" si="25"/>
        <v>3957267</v>
      </c>
      <c r="G362" s="14">
        <v>14324.67</v>
      </c>
      <c r="H362" s="14">
        <f t="shared" si="26"/>
        <v>4297.4009999999998</v>
      </c>
      <c r="I362" s="14">
        <f t="shared" si="29"/>
        <v>3297722.5</v>
      </c>
      <c r="J362" s="14">
        <f t="shared" si="27"/>
        <v>989316.75</v>
      </c>
      <c r="K362" s="11">
        <f t="shared" si="28"/>
        <v>2.5453061578552177E-2</v>
      </c>
    </row>
    <row r="363" spans="1:11" x14ac:dyDescent="0.3">
      <c r="A363" s="8" t="s">
        <v>469</v>
      </c>
      <c r="B363" s="8" t="s">
        <v>479</v>
      </c>
      <c r="C363" s="12" t="s">
        <v>7</v>
      </c>
      <c r="D363" s="10">
        <v>0.25</v>
      </c>
      <c r="E363" s="14">
        <v>3325000</v>
      </c>
      <c r="F363" s="14">
        <f t="shared" si="25"/>
        <v>997500</v>
      </c>
      <c r="G363" s="14">
        <v>3092.5</v>
      </c>
      <c r="H363" s="14">
        <f t="shared" si="26"/>
        <v>927.75</v>
      </c>
      <c r="I363" s="14">
        <f t="shared" si="29"/>
        <v>831250</v>
      </c>
      <c r="J363" s="14">
        <f t="shared" si="27"/>
        <v>249375</v>
      </c>
      <c r="K363" s="11">
        <f t="shared" si="28"/>
        <v>6.4158998936907205E-3</v>
      </c>
    </row>
    <row r="364" spans="1:11" x14ac:dyDescent="0.3">
      <c r="A364" s="8" t="s">
        <v>469</v>
      </c>
      <c r="B364" s="8" t="s">
        <v>480</v>
      </c>
      <c r="C364" s="12" t="s">
        <v>7</v>
      </c>
      <c r="D364" s="10">
        <v>0.25</v>
      </c>
      <c r="E364" s="14">
        <v>1225000</v>
      </c>
      <c r="F364" s="14">
        <f t="shared" si="25"/>
        <v>367500</v>
      </c>
      <c r="G364" s="14">
        <v>1500</v>
      </c>
      <c r="H364" s="14">
        <f t="shared" si="26"/>
        <v>450</v>
      </c>
      <c r="I364" s="14">
        <f t="shared" si="29"/>
        <v>306250</v>
      </c>
      <c r="J364" s="14">
        <f t="shared" si="27"/>
        <v>91875</v>
      </c>
      <c r="K364" s="11">
        <f t="shared" si="28"/>
        <v>2.3637525924123707E-3</v>
      </c>
    </row>
    <row r="365" spans="1:11" x14ac:dyDescent="0.3">
      <c r="A365" s="8" t="s">
        <v>469</v>
      </c>
      <c r="B365" s="8" t="s">
        <v>481</v>
      </c>
      <c r="C365" s="12" t="s">
        <v>7</v>
      </c>
      <c r="D365" s="10">
        <v>0.25</v>
      </c>
      <c r="E365" s="14">
        <v>1000000</v>
      </c>
      <c r="F365" s="14">
        <f t="shared" si="25"/>
        <v>300000</v>
      </c>
      <c r="G365" s="14">
        <v>2500</v>
      </c>
      <c r="H365" s="14">
        <f t="shared" si="26"/>
        <v>750</v>
      </c>
      <c r="I365" s="14">
        <f t="shared" si="29"/>
        <v>250000</v>
      </c>
      <c r="J365" s="14">
        <f t="shared" si="27"/>
        <v>75000</v>
      </c>
      <c r="K365" s="11">
        <f t="shared" si="28"/>
        <v>1.9295939529896905E-3</v>
      </c>
    </row>
    <row r="366" spans="1:11" x14ac:dyDescent="0.3">
      <c r="A366" s="8" t="s">
        <v>469</v>
      </c>
      <c r="B366" s="8" t="s">
        <v>482</v>
      </c>
      <c r="C366" s="12" t="s">
        <v>7</v>
      </c>
      <c r="D366" s="10">
        <v>0.25</v>
      </c>
      <c r="E366" s="14">
        <v>980000</v>
      </c>
      <c r="F366" s="14">
        <f t="shared" si="25"/>
        <v>294000</v>
      </c>
      <c r="G366" s="14">
        <v>1500</v>
      </c>
      <c r="H366" s="14">
        <f t="shared" si="26"/>
        <v>450</v>
      </c>
      <c r="I366" s="14">
        <f t="shared" si="29"/>
        <v>245000</v>
      </c>
      <c r="J366" s="14">
        <f t="shared" si="27"/>
        <v>73500</v>
      </c>
      <c r="K366" s="11">
        <f t="shared" si="28"/>
        <v>1.8910020739298966E-3</v>
      </c>
    </row>
    <row r="367" spans="1:11" x14ac:dyDescent="0.3">
      <c r="A367" s="8" t="s">
        <v>487</v>
      </c>
      <c r="B367" s="8" t="s">
        <v>488</v>
      </c>
      <c r="C367" s="12" t="s">
        <v>7</v>
      </c>
      <c r="D367" s="10">
        <v>0.25</v>
      </c>
      <c r="E367" s="14">
        <v>26346995355.34</v>
      </c>
      <c r="F367" s="14">
        <f t="shared" si="25"/>
        <v>7904098606.6019993</v>
      </c>
      <c r="G367" s="14">
        <v>6208343.4330000002</v>
      </c>
      <c r="H367" s="14">
        <f t="shared" si="26"/>
        <v>1862503.0299</v>
      </c>
      <c r="I367" s="14">
        <f t="shared" si="29"/>
        <v>6586748838.835</v>
      </c>
      <c r="J367" s="14">
        <f t="shared" si="27"/>
        <v>1976024651.6504998</v>
      </c>
      <c r="K367" s="11">
        <f t="shared" si="28"/>
        <v>50.839002917111522</v>
      </c>
    </row>
    <row r="368" spans="1:11" x14ac:dyDescent="0.3">
      <c r="A368" s="8" t="s">
        <v>487</v>
      </c>
      <c r="B368" s="8" t="s">
        <v>78</v>
      </c>
      <c r="C368" s="12" t="s">
        <v>7</v>
      </c>
      <c r="D368" s="10">
        <v>0.25</v>
      </c>
      <c r="E368" s="14">
        <v>7420811168</v>
      </c>
      <c r="F368" s="14">
        <f t="shared" si="25"/>
        <v>2226243350.4000001</v>
      </c>
      <c r="G368" s="14">
        <v>5076854.5999999996</v>
      </c>
      <c r="H368" s="14">
        <f t="shared" si="26"/>
        <v>1523056.38</v>
      </c>
      <c r="I368" s="14">
        <f t="shared" si="29"/>
        <v>1855202792</v>
      </c>
      <c r="J368" s="14">
        <f t="shared" si="27"/>
        <v>556560837.60000002</v>
      </c>
      <c r="K368" s="11">
        <f t="shared" si="28"/>
        <v>14.319152356051163</v>
      </c>
    </row>
    <row r="369" spans="1:11" x14ac:dyDescent="0.3">
      <c r="A369" s="8" t="s">
        <v>487</v>
      </c>
      <c r="B369" s="8" t="s">
        <v>489</v>
      </c>
      <c r="C369" s="12" t="s">
        <v>7</v>
      </c>
      <c r="D369" s="10">
        <v>0.25</v>
      </c>
      <c r="E369" s="14">
        <v>712683060</v>
      </c>
      <c r="F369" s="14">
        <f t="shared" si="25"/>
        <v>213804918</v>
      </c>
      <c r="G369" s="14">
        <v>450179.31</v>
      </c>
      <c r="H369" s="14">
        <f t="shared" si="26"/>
        <v>135053.79300000001</v>
      </c>
      <c r="I369" s="14">
        <f t="shared" si="29"/>
        <v>178170765</v>
      </c>
      <c r="J369" s="14">
        <f t="shared" si="27"/>
        <v>53451229.5</v>
      </c>
      <c r="K369" s="11">
        <f t="shared" si="28"/>
        <v>1.3751889229741887</v>
      </c>
    </row>
    <row r="370" spans="1:11" x14ac:dyDescent="0.3">
      <c r="A370" s="8" t="s">
        <v>487</v>
      </c>
      <c r="B370" s="8" t="s">
        <v>490</v>
      </c>
      <c r="C370" s="12" t="s">
        <v>7</v>
      </c>
      <c r="D370" s="10">
        <v>0.25</v>
      </c>
      <c r="E370" s="14">
        <v>367820560</v>
      </c>
      <c r="F370" s="14">
        <f t="shared" si="25"/>
        <v>110346168</v>
      </c>
      <c r="G370" s="14">
        <v>248729.49</v>
      </c>
      <c r="H370" s="14">
        <f t="shared" si="26"/>
        <v>74618.846999999994</v>
      </c>
      <c r="I370" s="14">
        <f t="shared" si="29"/>
        <v>91955140</v>
      </c>
      <c r="J370" s="14">
        <f t="shared" si="27"/>
        <v>27586542</v>
      </c>
      <c r="K370" s="11">
        <f t="shared" si="28"/>
        <v>0.70974432836128165</v>
      </c>
    </row>
    <row r="371" spans="1:11" x14ac:dyDescent="0.3">
      <c r="A371" s="8" t="s">
        <v>487</v>
      </c>
      <c r="B371" s="8" t="s">
        <v>491</v>
      </c>
      <c r="C371" s="12" t="s">
        <v>7</v>
      </c>
      <c r="D371" s="10">
        <v>0.25</v>
      </c>
      <c r="E371" s="14">
        <v>176342000</v>
      </c>
      <c r="F371" s="14">
        <f t="shared" si="25"/>
        <v>52902600</v>
      </c>
      <c r="G371" s="14">
        <v>128706.21</v>
      </c>
      <c r="H371" s="14">
        <f t="shared" si="26"/>
        <v>38611.862999999998</v>
      </c>
      <c r="I371" s="14">
        <f t="shared" si="29"/>
        <v>44085500</v>
      </c>
      <c r="J371" s="14">
        <f t="shared" si="27"/>
        <v>13225650</v>
      </c>
      <c r="K371" s="11">
        <f t="shared" si="28"/>
        <v>0.34026845685810797</v>
      </c>
    </row>
    <row r="372" spans="1:11" x14ac:dyDescent="0.3">
      <c r="A372" s="8" t="s">
        <v>487</v>
      </c>
      <c r="B372" s="8" t="s">
        <v>492</v>
      </c>
      <c r="C372" s="12" t="s">
        <v>7</v>
      </c>
      <c r="D372" s="10">
        <v>0.25</v>
      </c>
      <c r="E372" s="14">
        <v>97151140</v>
      </c>
      <c r="F372" s="14">
        <f t="shared" si="25"/>
        <v>29145342</v>
      </c>
      <c r="G372" s="14">
        <v>65241.03</v>
      </c>
      <c r="H372" s="14">
        <f t="shared" si="26"/>
        <v>19572.308999999997</v>
      </c>
      <c r="I372" s="14">
        <f t="shared" si="29"/>
        <v>24287785</v>
      </c>
      <c r="J372" s="14">
        <f t="shared" si="27"/>
        <v>7286335.5</v>
      </c>
      <c r="K372" s="11">
        <f t="shared" si="28"/>
        <v>0.18746225227005484</v>
      </c>
    </row>
    <row r="373" spans="1:11" x14ac:dyDescent="0.3">
      <c r="A373" s="8" t="s">
        <v>487</v>
      </c>
      <c r="B373" s="8" t="s">
        <v>493</v>
      </c>
      <c r="C373" s="12" t="s">
        <v>7</v>
      </c>
      <c r="D373" s="10">
        <v>0.25</v>
      </c>
      <c r="E373" s="14">
        <v>69524800</v>
      </c>
      <c r="F373" s="14">
        <f t="shared" si="25"/>
        <v>20857440</v>
      </c>
      <c r="G373" s="14">
        <v>60872.33</v>
      </c>
      <c r="H373" s="14">
        <f t="shared" si="26"/>
        <v>18261.699000000001</v>
      </c>
      <c r="I373" s="14">
        <f t="shared" si="29"/>
        <v>17381200</v>
      </c>
      <c r="J373" s="14">
        <f t="shared" si="27"/>
        <v>5214360</v>
      </c>
      <c r="K373" s="11">
        <f t="shared" si="28"/>
        <v>0.13415463366281763</v>
      </c>
    </row>
    <row r="374" spans="1:11" x14ac:dyDescent="0.3">
      <c r="A374" s="8" t="s">
        <v>487</v>
      </c>
      <c r="B374" s="8" t="s">
        <v>494</v>
      </c>
      <c r="C374" s="12" t="s">
        <v>7</v>
      </c>
      <c r="D374" s="10">
        <v>0.25</v>
      </c>
      <c r="E374" s="14">
        <v>69164700</v>
      </c>
      <c r="F374" s="14">
        <f t="shared" si="25"/>
        <v>20749410</v>
      </c>
      <c r="G374" s="14">
        <v>53518.91</v>
      </c>
      <c r="H374" s="14">
        <f t="shared" si="26"/>
        <v>16055.673000000001</v>
      </c>
      <c r="I374" s="14">
        <f t="shared" si="29"/>
        <v>17291175</v>
      </c>
      <c r="J374" s="14">
        <f t="shared" si="27"/>
        <v>5187352.5</v>
      </c>
      <c r="K374" s="11">
        <f t="shared" si="28"/>
        <v>0.13345978688034604</v>
      </c>
    </row>
    <row r="375" spans="1:11" x14ac:dyDescent="0.3">
      <c r="A375" s="8" t="s">
        <v>487</v>
      </c>
      <c r="B375" s="8" t="s">
        <v>495</v>
      </c>
      <c r="C375" s="12" t="s">
        <v>7</v>
      </c>
      <c r="D375" s="10">
        <v>0.25</v>
      </c>
      <c r="E375" s="14">
        <v>65262300</v>
      </c>
      <c r="F375" s="14">
        <f t="shared" si="25"/>
        <v>19578690</v>
      </c>
      <c r="G375" s="14">
        <v>50861.42</v>
      </c>
      <c r="H375" s="14">
        <f t="shared" si="26"/>
        <v>15258.425999999999</v>
      </c>
      <c r="I375" s="14">
        <f t="shared" si="29"/>
        <v>16315575</v>
      </c>
      <c r="J375" s="14">
        <f t="shared" si="27"/>
        <v>4894672.5</v>
      </c>
      <c r="K375" s="11">
        <f t="shared" si="28"/>
        <v>0.12592973943819907</v>
      </c>
    </row>
    <row r="376" spans="1:11" x14ac:dyDescent="0.3">
      <c r="A376" s="8" t="s">
        <v>487</v>
      </c>
      <c r="B376" s="8" t="s">
        <v>496</v>
      </c>
      <c r="C376" s="12" t="s">
        <v>7</v>
      </c>
      <c r="D376" s="10">
        <v>0.25</v>
      </c>
      <c r="E376" s="14">
        <v>58274540</v>
      </c>
      <c r="F376" s="14">
        <f t="shared" si="25"/>
        <v>17482362</v>
      </c>
      <c r="G376" s="14">
        <v>40196.65</v>
      </c>
      <c r="H376" s="14">
        <f t="shared" si="26"/>
        <v>12058.995000000001</v>
      </c>
      <c r="I376" s="14">
        <f t="shared" si="29"/>
        <v>14568635</v>
      </c>
      <c r="J376" s="14">
        <f t="shared" si="27"/>
        <v>4370590.5</v>
      </c>
      <c r="K376" s="11">
        <f t="shared" si="28"/>
        <v>0.11244619999725583</v>
      </c>
    </row>
    <row r="377" spans="1:11" x14ac:dyDescent="0.3">
      <c r="A377" s="8" t="s">
        <v>487</v>
      </c>
      <c r="B377" s="8" t="s">
        <v>497</v>
      </c>
      <c r="C377" s="12" t="s">
        <v>7</v>
      </c>
      <c r="D377" s="10">
        <v>0.25</v>
      </c>
      <c r="E377" s="14">
        <v>47936100</v>
      </c>
      <c r="F377" s="14">
        <f t="shared" si="25"/>
        <v>14380830</v>
      </c>
      <c r="G377" s="14">
        <v>35208.26</v>
      </c>
      <c r="H377" s="14">
        <f t="shared" si="26"/>
        <v>10562.478000000001</v>
      </c>
      <c r="I377" s="14">
        <f t="shared" si="29"/>
        <v>11984025</v>
      </c>
      <c r="J377" s="14">
        <f t="shared" si="27"/>
        <v>3595207.5</v>
      </c>
      <c r="K377" s="11">
        <f t="shared" si="28"/>
        <v>9.2497208689909099E-2</v>
      </c>
    </row>
    <row r="378" spans="1:11" x14ac:dyDescent="0.3">
      <c r="A378" s="8" t="s">
        <v>487</v>
      </c>
      <c r="B378" s="8" t="s">
        <v>498</v>
      </c>
      <c r="C378" s="12" t="s">
        <v>7</v>
      </c>
      <c r="D378" s="10">
        <v>0.25</v>
      </c>
      <c r="E378" s="14">
        <v>35235400</v>
      </c>
      <c r="F378" s="14">
        <f t="shared" si="25"/>
        <v>10570620</v>
      </c>
      <c r="G378" s="14">
        <v>23756.29</v>
      </c>
      <c r="H378" s="14">
        <f t="shared" si="26"/>
        <v>7126.8869999999997</v>
      </c>
      <c r="I378" s="14">
        <f t="shared" si="29"/>
        <v>8808850</v>
      </c>
      <c r="J378" s="14">
        <f t="shared" si="27"/>
        <v>2642655</v>
      </c>
      <c r="K378" s="11">
        <f t="shared" si="28"/>
        <v>6.7990014771172932E-2</v>
      </c>
    </row>
    <row r="379" spans="1:11" x14ac:dyDescent="0.3">
      <c r="A379" s="8" t="s">
        <v>487</v>
      </c>
      <c r="B379" s="8" t="s">
        <v>499</v>
      </c>
      <c r="C379" s="12" t="s">
        <v>7</v>
      </c>
      <c r="D379" s="10">
        <v>0.25</v>
      </c>
      <c r="E379" s="14">
        <v>33627000</v>
      </c>
      <c r="F379" s="14">
        <f t="shared" si="25"/>
        <v>10088100</v>
      </c>
      <c r="G379" s="14">
        <v>19451.3</v>
      </c>
      <c r="H379" s="14">
        <f t="shared" si="26"/>
        <v>5835.3899999999994</v>
      </c>
      <c r="I379" s="14">
        <f t="shared" si="29"/>
        <v>8406750</v>
      </c>
      <c r="J379" s="14">
        <f t="shared" si="27"/>
        <v>2522025</v>
      </c>
      <c r="K379" s="11">
        <f t="shared" si="28"/>
        <v>6.4886455857184319E-2</v>
      </c>
    </row>
    <row r="380" spans="1:11" x14ac:dyDescent="0.3">
      <c r="A380" s="8" t="s">
        <v>487</v>
      </c>
      <c r="B380" s="8" t="s">
        <v>500</v>
      </c>
      <c r="C380" s="12" t="s">
        <v>7</v>
      </c>
      <c r="D380" s="10">
        <v>0.25</v>
      </c>
      <c r="E380" s="14">
        <v>28675500</v>
      </c>
      <c r="F380" s="14">
        <f t="shared" si="25"/>
        <v>8602650</v>
      </c>
      <c r="G380" s="14">
        <v>16416.599999999999</v>
      </c>
      <c r="H380" s="14">
        <f t="shared" si="26"/>
        <v>4924.9799999999996</v>
      </c>
      <c r="I380" s="14">
        <f t="shared" si="29"/>
        <v>7168875</v>
      </c>
      <c r="J380" s="14">
        <f t="shared" si="27"/>
        <v>2150662.5</v>
      </c>
      <c r="K380" s="11">
        <f t="shared" si="28"/>
        <v>5.5332071398955872E-2</v>
      </c>
    </row>
    <row r="381" spans="1:11" x14ac:dyDescent="0.3">
      <c r="A381" s="8" t="s">
        <v>487</v>
      </c>
      <c r="B381" s="8" t="s">
        <v>501</v>
      </c>
      <c r="C381" s="12" t="s">
        <v>7</v>
      </c>
      <c r="D381" s="10">
        <v>0.25</v>
      </c>
      <c r="E381" s="14">
        <v>27721000</v>
      </c>
      <c r="F381" s="14">
        <f t="shared" si="25"/>
        <v>8316300</v>
      </c>
      <c r="G381" s="14">
        <v>22450</v>
      </c>
      <c r="H381" s="14">
        <f t="shared" si="26"/>
        <v>6735</v>
      </c>
      <c r="I381" s="14">
        <f t="shared" si="29"/>
        <v>6930250</v>
      </c>
      <c r="J381" s="14">
        <f t="shared" si="27"/>
        <v>2079075</v>
      </c>
      <c r="K381" s="11">
        <f t="shared" si="28"/>
        <v>5.3490273970827208E-2</v>
      </c>
    </row>
    <row r="382" spans="1:11" x14ac:dyDescent="0.3">
      <c r="A382" s="8" t="s">
        <v>487</v>
      </c>
      <c r="B382" s="8" t="s">
        <v>502</v>
      </c>
      <c r="C382" s="12" t="s">
        <v>7</v>
      </c>
      <c r="D382" s="10">
        <v>0.25</v>
      </c>
      <c r="E382" s="14">
        <v>27697320</v>
      </c>
      <c r="F382" s="14">
        <f t="shared" si="25"/>
        <v>8309196</v>
      </c>
      <c r="G382" s="14">
        <v>19550</v>
      </c>
      <c r="H382" s="14">
        <f t="shared" si="26"/>
        <v>5865</v>
      </c>
      <c r="I382" s="14">
        <f t="shared" si="29"/>
        <v>6924330</v>
      </c>
      <c r="J382" s="14">
        <f t="shared" si="27"/>
        <v>2077299</v>
      </c>
      <c r="K382" s="11">
        <f t="shared" si="28"/>
        <v>5.3444581186020412E-2</v>
      </c>
    </row>
    <row r="383" spans="1:11" x14ac:dyDescent="0.3">
      <c r="A383" s="8" t="s">
        <v>487</v>
      </c>
      <c r="B383" s="8" t="s">
        <v>503</v>
      </c>
      <c r="C383" s="12" t="s">
        <v>7</v>
      </c>
      <c r="D383" s="10">
        <v>0.25</v>
      </c>
      <c r="E383" s="14">
        <v>21359500</v>
      </c>
      <c r="F383" s="14">
        <f t="shared" si="25"/>
        <v>6407850</v>
      </c>
      <c r="G383" s="14">
        <v>17068</v>
      </c>
      <c r="H383" s="14">
        <f t="shared" si="26"/>
        <v>5120.3999999999996</v>
      </c>
      <c r="I383" s="14">
        <f t="shared" si="29"/>
        <v>5339875</v>
      </c>
      <c r="J383" s="14">
        <f t="shared" si="27"/>
        <v>1601962.5</v>
      </c>
      <c r="K383" s="11">
        <f t="shared" si="28"/>
        <v>4.1215162038883292E-2</v>
      </c>
    </row>
    <row r="384" spans="1:11" x14ac:dyDescent="0.3">
      <c r="A384" s="8" t="s">
        <v>487</v>
      </c>
      <c r="B384" s="8" t="s">
        <v>504</v>
      </c>
      <c r="C384" s="12" t="s">
        <v>7</v>
      </c>
      <c r="D384" s="10">
        <v>0.25</v>
      </c>
      <c r="E384" s="14">
        <v>19040000</v>
      </c>
      <c r="F384" s="14">
        <f t="shared" si="25"/>
        <v>5712000</v>
      </c>
      <c r="G384" s="14">
        <v>13190</v>
      </c>
      <c r="H384" s="14">
        <f t="shared" si="26"/>
        <v>3957</v>
      </c>
      <c r="I384" s="14">
        <f t="shared" si="29"/>
        <v>4760000</v>
      </c>
      <c r="J384" s="14">
        <f t="shared" si="27"/>
        <v>1428000</v>
      </c>
      <c r="K384" s="11">
        <f t="shared" si="28"/>
        <v>3.6739468864923706E-2</v>
      </c>
    </row>
    <row r="385" spans="1:11" x14ac:dyDescent="0.3">
      <c r="A385" s="8" t="s">
        <v>487</v>
      </c>
      <c r="B385" s="8" t="s">
        <v>505</v>
      </c>
      <c r="C385" s="12" t="s">
        <v>7</v>
      </c>
      <c r="D385" s="10">
        <v>0.25</v>
      </c>
      <c r="E385" s="14">
        <v>17838000</v>
      </c>
      <c r="F385" s="14">
        <f t="shared" si="25"/>
        <v>5351400</v>
      </c>
      <c r="G385" s="14">
        <v>18500</v>
      </c>
      <c r="H385" s="14">
        <f t="shared" si="26"/>
        <v>5550</v>
      </c>
      <c r="I385" s="14">
        <f t="shared" si="29"/>
        <v>4459500</v>
      </c>
      <c r="J385" s="14">
        <f t="shared" si="27"/>
        <v>1337850</v>
      </c>
      <c r="K385" s="11">
        <f t="shared" si="28"/>
        <v>3.4420096933430101E-2</v>
      </c>
    </row>
    <row r="386" spans="1:11" x14ac:dyDescent="0.3">
      <c r="A386" s="8" t="s">
        <v>487</v>
      </c>
      <c r="B386" s="8" t="s">
        <v>506</v>
      </c>
      <c r="C386" s="12" t="s">
        <v>7</v>
      </c>
      <c r="D386" s="10">
        <v>0.25</v>
      </c>
      <c r="E386" s="14">
        <v>10776000</v>
      </c>
      <c r="F386" s="14">
        <f t="shared" si="25"/>
        <v>3232800</v>
      </c>
      <c r="G386" s="14">
        <v>13200</v>
      </c>
      <c r="H386" s="14">
        <f t="shared" si="26"/>
        <v>3960</v>
      </c>
      <c r="I386" s="14">
        <f t="shared" si="29"/>
        <v>2694000</v>
      </c>
      <c r="J386" s="14">
        <f t="shared" si="27"/>
        <v>808200</v>
      </c>
      <c r="K386" s="11">
        <f t="shared" si="28"/>
        <v>2.0793304437416903E-2</v>
      </c>
    </row>
    <row r="387" spans="1:11" x14ac:dyDescent="0.3">
      <c r="A387" s="8" t="s">
        <v>487</v>
      </c>
      <c r="B387" s="8" t="s">
        <v>507</v>
      </c>
      <c r="C387" s="12" t="s">
        <v>7</v>
      </c>
      <c r="D387" s="10">
        <v>0.25</v>
      </c>
      <c r="E387" s="14">
        <v>10225640</v>
      </c>
      <c r="F387" s="14">
        <f t="shared" si="25"/>
        <v>3067692</v>
      </c>
      <c r="G387" s="14">
        <v>12392.5</v>
      </c>
      <c r="H387" s="14">
        <f t="shared" si="26"/>
        <v>3717.75</v>
      </c>
      <c r="I387" s="14">
        <f t="shared" si="29"/>
        <v>2556410</v>
      </c>
      <c r="J387" s="14">
        <f t="shared" si="27"/>
        <v>766923</v>
      </c>
      <c r="K387" s="11">
        <f t="shared" si="28"/>
        <v>1.9731333109449498E-2</v>
      </c>
    </row>
    <row r="388" spans="1:11" x14ac:dyDescent="0.3">
      <c r="A388" s="8" t="s">
        <v>487</v>
      </c>
      <c r="B388" s="8" t="s">
        <v>508</v>
      </c>
      <c r="C388" s="12" t="s">
        <v>7</v>
      </c>
      <c r="D388" s="10">
        <v>0.25</v>
      </c>
      <c r="E388" s="14">
        <v>6500000</v>
      </c>
      <c r="F388" s="14">
        <f t="shared" ref="F388:F451" si="30">E388*0.3</f>
        <v>1950000</v>
      </c>
      <c r="G388" s="14">
        <v>7500</v>
      </c>
      <c r="H388" s="14">
        <f t="shared" ref="H388:H451" si="31">G388*0.3</f>
        <v>2250</v>
      </c>
      <c r="I388" s="14">
        <f t="shared" si="29"/>
        <v>1625000</v>
      </c>
      <c r="J388" s="14">
        <f t="shared" ref="J388:J451" si="32">I388*0.3</f>
        <v>487500</v>
      </c>
      <c r="K388" s="11">
        <f t="shared" ref="K388:K451" si="33">J388/$H$587</f>
        <v>1.2542360694432987E-2</v>
      </c>
    </row>
    <row r="389" spans="1:11" x14ac:dyDescent="0.3">
      <c r="A389" s="8" t="s">
        <v>487</v>
      </c>
      <c r="B389" s="8" t="s">
        <v>509</v>
      </c>
      <c r="C389" s="12" t="s">
        <v>7</v>
      </c>
      <c r="D389" s="10">
        <v>0.25</v>
      </c>
      <c r="E389" s="14">
        <v>6096650</v>
      </c>
      <c r="F389" s="14">
        <f t="shared" si="30"/>
        <v>1828995</v>
      </c>
      <c r="G389" s="14">
        <v>6058.6</v>
      </c>
      <c r="H389" s="14">
        <f t="shared" si="31"/>
        <v>1817.5800000000002</v>
      </c>
      <c r="I389" s="14">
        <f t="shared" si="29"/>
        <v>1524162.5</v>
      </c>
      <c r="J389" s="14">
        <f t="shared" si="32"/>
        <v>457248.75</v>
      </c>
      <c r="K389" s="11">
        <f t="shared" si="33"/>
        <v>1.1764058973494597E-2</v>
      </c>
    </row>
    <row r="390" spans="1:11" x14ac:dyDescent="0.3">
      <c r="A390" s="8" t="s">
        <v>487</v>
      </c>
      <c r="B390" s="8" t="s">
        <v>510</v>
      </c>
      <c r="C390" s="12" t="s">
        <v>7</v>
      </c>
      <c r="D390" s="10">
        <v>0.25</v>
      </c>
      <c r="E390" s="14">
        <v>6000000</v>
      </c>
      <c r="F390" s="14">
        <f t="shared" si="30"/>
        <v>1800000</v>
      </c>
      <c r="G390" s="14">
        <v>7500</v>
      </c>
      <c r="H390" s="14">
        <f t="shared" si="31"/>
        <v>2250</v>
      </c>
      <c r="I390" s="14">
        <f t="shared" ref="I390:I453" si="34">E390*D390</f>
        <v>1500000</v>
      </c>
      <c r="J390" s="14">
        <f t="shared" si="32"/>
        <v>450000</v>
      </c>
      <c r="K390" s="11">
        <f t="shared" si="33"/>
        <v>1.1577563717938142E-2</v>
      </c>
    </row>
    <row r="391" spans="1:11" x14ac:dyDescent="0.3">
      <c r="A391" s="8" t="s">
        <v>487</v>
      </c>
      <c r="B391" s="8" t="s">
        <v>511</v>
      </c>
      <c r="C391" s="12" t="s">
        <v>7</v>
      </c>
      <c r="D391" s="10">
        <v>0.25</v>
      </c>
      <c r="E391" s="14">
        <v>5179790</v>
      </c>
      <c r="F391" s="14">
        <f t="shared" si="30"/>
        <v>1553937</v>
      </c>
      <c r="G391" s="14">
        <v>6000</v>
      </c>
      <c r="H391" s="14">
        <f t="shared" si="31"/>
        <v>1800</v>
      </c>
      <c r="I391" s="14">
        <f t="shared" si="34"/>
        <v>1294947.5</v>
      </c>
      <c r="J391" s="14">
        <f t="shared" si="32"/>
        <v>388484.25</v>
      </c>
      <c r="K391" s="11">
        <f t="shared" si="33"/>
        <v>9.9948914617564687E-3</v>
      </c>
    </row>
    <row r="392" spans="1:11" x14ac:dyDescent="0.3">
      <c r="A392" s="8" t="s">
        <v>487</v>
      </c>
      <c r="B392" s="8" t="s">
        <v>512</v>
      </c>
      <c r="C392" s="12" t="s">
        <v>7</v>
      </c>
      <c r="D392" s="10">
        <v>0.25</v>
      </c>
      <c r="E392" s="14">
        <v>3370500</v>
      </c>
      <c r="F392" s="14">
        <f t="shared" si="30"/>
        <v>1011150</v>
      </c>
      <c r="G392" s="14">
        <v>5400</v>
      </c>
      <c r="H392" s="14">
        <f t="shared" si="31"/>
        <v>1620</v>
      </c>
      <c r="I392" s="14">
        <f t="shared" si="34"/>
        <v>842625</v>
      </c>
      <c r="J392" s="14">
        <f t="shared" si="32"/>
        <v>252787.5</v>
      </c>
      <c r="K392" s="11">
        <f t="shared" si="33"/>
        <v>6.5036964185517521E-3</v>
      </c>
    </row>
    <row r="393" spans="1:11" x14ac:dyDescent="0.3">
      <c r="A393" s="8" t="s">
        <v>487</v>
      </c>
      <c r="B393" s="8" t="s">
        <v>513</v>
      </c>
      <c r="C393" s="12" t="s">
        <v>7</v>
      </c>
      <c r="D393" s="10">
        <v>0.25</v>
      </c>
      <c r="E393" s="14">
        <v>2975000</v>
      </c>
      <c r="F393" s="14">
        <f t="shared" si="30"/>
        <v>892500</v>
      </c>
      <c r="G393" s="14">
        <v>3000</v>
      </c>
      <c r="H393" s="14">
        <f t="shared" si="31"/>
        <v>900</v>
      </c>
      <c r="I393" s="14">
        <f t="shared" si="34"/>
        <v>743750</v>
      </c>
      <c r="J393" s="14">
        <f t="shared" si="32"/>
        <v>223125</v>
      </c>
      <c r="K393" s="11">
        <f t="shared" si="33"/>
        <v>5.7405420101443293E-3</v>
      </c>
    </row>
    <row r="394" spans="1:11" x14ac:dyDescent="0.3">
      <c r="A394" s="8" t="s">
        <v>487</v>
      </c>
      <c r="B394" s="8" t="s">
        <v>514</v>
      </c>
      <c r="C394" s="12" t="s">
        <v>7</v>
      </c>
      <c r="D394" s="10">
        <v>0.25</v>
      </c>
      <c r="E394" s="14">
        <v>2636900</v>
      </c>
      <c r="F394" s="14">
        <f t="shared" si="30"/>
        <v>791070</v>
      </c>
      <c r="G394" s="14">
        <v>2531.42</v>
      </c>
      <c r="H394" s="14">
        <f t="shared" si="31"/>
        <v>759.42600000000004</v>
      </c>
      <c r="I394" s="14">
        <f t="shared" si="34"/>
        <v>659225</v>
      </c>
      <c r="J394" s="14">
        <f t="shared" si="32"/>
        <v>197767.5</v>
      </c>
      <c r="K394" s="11">
        <f t="shared" si="33"/>
        <v>5.088146294638515E-3</v>
      </c>
    </row>
    <row r="395" spans="1:11" x14ac:dyDescent="0.3">
      <c r="A395" s="8" t="s">
        <v>487</v>
      </c>
      <c r="B395" s="8" t="s">
        <v>515</v>
      </c>
      <c r="C395" s="12" t="s">
        <v>7</v>
      </c>
      <c r="D395" s="10">
        <v>0.25</v>
      </c>
      <c r="E395" s="14">
        <v>2502500</v>
      </c>
      <c r="F395" s="14">
        <f t="shared" si="30"/>
        <v>750750</v>
      </c>
      <c r="G395" s="14">
        <v>1626.62</v>
      </c>
      <c r="H395" s="14">
        <f t="shared" si="31"/>
        <v>487.98599999999993</v>
      </c>
      <c r="I395" s="14">
        <f t="shared" si="34"/>
        <v>625625</v>
      </c>
      <c r="J395" s="14">
        <f t="shared" si="32"/>
        <v>187687.5</v>
      </c>
      <c r="K395" s="11">
        <f t="shared" si="33"/>
        <v>4.8288088673567008E-3</v>
      </c>
    </row>
    <row r="396" spans="1:11" x14ac:dyDescent="0.3">
      <c r="A396" s="8" t="s">
        <v>487</v>
      </c>
      <c r="B396" s="8" t="s">
        <v>516</v>
      </c>
      <c r="C396" s="12" t="s">
        <v>7</v>
      </c>
      <c r="D396" s="10">
        <v>0.25</v>
      </c>
      <c r="E396" s="14">
        <v>2100000</v>
      </c>
      <c r="F396" s="14">
        <f t="shared" si="30"/>
        <v>630000</v>
      </c>
      <c r="G396" s="14">
        <v>1500</v>
      </c>
      <c r="H396" s="14">
        <f t="shared" si="31"/>
        <v>450</v>
      </c>
      <c r="I396" s="14">
        <f t="shared" si="34"/>
        <v>525000</v>
      </c>
      <c r="J396" s="14">
        <f t="shared" si="32"/>
        <v>157500</v>
      </c>
      <c r="K396" s="11">
        <f t="shared" si="33"/>
        <v>4.0521473012783502E-3</v>
      </c>
    </row>
    <row r="397" spans="1:11" x14ac:dyDescent="0.3">
      <c r="A397" s="8" t="s">
        <v>487</v>
      </c>
      <c r="B397" s="8" t="s">
        <v>517</v>
      </c>
      <c r="C397" s="12" t="s">
        <v>7</v>
      </c>
      <c r="D397" s="10">
        <v>0.25</v>
      </c>
      <c r="E397" s="14">
        <v>2000000</v>
      </c>
      <c r="F397" s="14">
        <f t="shared" si="30"/>
        <v>600000</v>
      </c>
      <c r="G397" s="14">
        <v>2500</v>
      </c>
      <c r="H397" s="14">
        <f t="shared" si="31"/>
        <v>750</v>
      </c>
      <c r="I397" s="14">
        <f t="shared" si="34"/>
        <v>500000</v>
      </c>
      <c r="J397" s="14">
        <f t="shared" si="32"/>
        <v>150000</v>
      </c>
      <c r="K397" s="11">
        <f t="shared" si="33"/>
        <v>3.859187905979381E-3</v>
      </c>
    </row>
    <row r="398" spans="1:11" x14ac:dyDescent="0.3">
      <c r="A398" s="8" t="s">
        <v>487</v>
      </c>
      <c r="B398" s="8" t="s">
        <v>518</v>
      </c>
      <c r="C398" s="12" t="s">
        <v>7</v>
      </c>
      <c r="D398" s="10">
        <v>0.25</v>
      </c>
      <c r="E398" s="14">
        <v>2000000</v>
      </c>
      <c r="F398" s="14">
        <f t="shared" si="30"/>
        <v>600000</v>
      </c>
      <c r="G398" s="14">
        <v>2500</v>
      </c>
      <c r="H398" s="14">
        <f t="shared" si="31"/>
        <v>750</v>
      </c>
      <c r="I398" s="14">
        <f t="shared" si="34"/>
        <v>500000</v>
      </c>
      <c r="J398" s="14">
        <f t="shared" si="32"/>
        <v>150000</v>
      </c>
      <c r="K398" s="11">
        <f t="shared" si="33"/>
        <v>3.859187905979381E-3</v>
      </c>
    </row>
    <row r="399" spans="1:11" x14ac:dyDescent="0.3">
      <c r="A399" s="8" t="s">
        <v>487</v>
      </c>
      <c r="B399" s="8" t="s">
        <v>519</v>
      </c>
      <c r="C399" s="12" t="s">
        <v>7</v>
      </c>
      <c r="D399" s="10">
        <v>0.25</v>
      </c>
      <c r="E399" s="14">
        <v>1750000</v>
      </c>
      <c r="F399" s="14">
        <f t="shared" si="30"/>
        <v>525000</v>
      </c>
      <c r="G399" s="14">
        <v>1800</v>
      </c>
      <c r="H399" s="14">
        <f t="shared" si="31"/>
        <v>540</v>
      </c>
      <c r="I399" s="14">
        <f t="shared" si="34"/>
        <v>437500</v>
      </c>
      <c r="J399" s="14">
        <f t="shared" si="32"/>
        <v>131250</v>
      </c>
      <c r="K399" s="11">
        <f t="shared" si="33"/>
        <v>3.3767894177319582E-3</v>
      </c>
    </row>
    <row r="400" spans="1:11" x14ac:dyDescent="0.3">
      <c r="A400" s="8" t="s">
        <v>552</v>
      </c>
      <c r="B400" s="8" t="s">
        <v>552</v>
      </c>
      <c r="C400" s="12" t="s">
        <v>7</v>
      </c>
      <c r="D400" s="10">
        <v>0.25</v>
      </c>
      <c r="E400" s="14">
        <v>274655849.19999999</v>
      </c>
      <c r="F400" s="14">
        <f t="shared" si="30"/>
        <v>82396754.75999999</v>
      </c>
      <c r="G400" s="14">
        <v>40113.586000000003</v>
      </c>
      <c r="H400" s="14">
        <f t="shared" si="31"/>
        <v>12034.075800000001</v>
      </c>
      <c r="I400" s="14">
        <f t="shared" si="34"/>
        <v>68663962.299999997</v>
      </c>
      <c r="J400" s="14">
        <f t="shared" si="32"/>
        <v>20599188.689999998</v>
      </c>
      <c r="K400" s="11">
        <f t="shared" si="33"/>
        <v>0.5299742657695683</v>
      </c>
    </row>
    <row r="401" spans="1:11" x14ac:dyDescent="0.3">
      <c r="A401" s="8" t="s">
        <v>552</v>
      </c>
      <c r="B401" s="8" t="s">
        <v>553</v>
      </c>
      <c r="C401" s="12" t="s">
        <v>7</v>
      </c>
      <c r="D401" s="10">
        <v>0.25</v>
      </c>
      <c r="E401" s="14">
        <v>84000000</v>
      </c>
      <c r="F401" s="14">
        <f t="shared" si="30"/>
        <v>25200000</v>
      </c>
      <c r="G401" s="14">
        <v>0</v>
      </c>
      <c r="H401" s="14">
        <f t="shared" si="31"/>
        <v>0</v>
      </c>
      <c r="I401" s="14">
        <f t="shared" si="34"/>
        <v>21000000</v>
      </c>
      <c r="J401" s="14">
        <f t="shared" si="32"/>
        <v>6300000</v>
      </c>
      <c r="K401" s="11">
        <f t="shared" si="33"/>
        <v>0.162085892051134</v>
      </c>
    </row>
    <row r="402" spans="1:11" x14ac:dyDescent="0.3">
      <c r="A402" s="8" t="s">
        <v>552</v>
      </c>
      <c r="B402" s="8" t="s">
        <v>554</v>
      </c>
      <c r="C402" s="12" t="s">
        <v>7</v>
      </c>
      <c r="D402" s="10">
        <v>0.25</v>
      </c>
      <c r="E402" s="14">
        <v>3100000</v>
      </c>
      <c r="F402" s="14">
        <f t="shared" si="30"/>
        <v>930000</v>
      </c>
      <c r="G402" s="14">
        <v>2418</v>
      </c>
      <c r="H402" s="14">
        <f t="shared" si="31"/>
        <v>725.4</v>
      </c>
      <c r="I402" s="14">
        <f t="shared" si="34"/>
        <v>775000</v>
      </c>
      <c r="J402" s="14">
        <f t="shared" si="32"/>
        <v>232500</v>
      </c>
      <c r="K402" s="11">
        <f t="shared" si="33"/>
        <v>5.9817412542680403E-3</v>
      </c>
    </row>
    <row r="403" spans="1:11" x14ac:dyDescent="0.3">
      <c r="A403" s="8" t="s">
        <v>555</v>
      </c>
      <c r="B403" s="8" t="s">
        <v>556</v>
      </c>
      <c r="C403" s="12" t="s">
        <v>7</v>
      </c>
      <c r="D403" s="10">
        <v>0.25</v>
      </c>
      <c r="E403" s="14">
        <v>4805618603.1999998</v>
      </c>
      <c r="F403" s="14">
        <f t="shared" si="30"/>
        <v>1441685580.9599998</v>
      </c>
      <c r="G403" s="14">
        <v>2953373.18</v>
      </c>
      <c r="H403" s="14">
        <f t="shared" si="31"/>
        <v>886011.95400000003</v>
      </c>
      <c r="I403" s="14">
        <f t="shared" si="34"/>
        <v>1201404650.8</v>
      </c>
      <c r="J403" s="14">
        <f t="shared" si="32"/>
        <v>360421395.23999995</v>
      </c>
      <c r="K403" s="11">
        <f t="shared" si="33"/>
        <v>9.2728925971094807</v>
      </c>
    </row>
    <row r="404" spans="1:11" x14ac:dyDescent="0.3">
      <c r="A404" s="8" t="s">
        <v>555</v>
      </c>
      <c r="B404" s="8" t="s">
        <v>557</v>
      </c>
      <c r="C404" s="12" t="s">
        <v>7</v>
      </c>
      <c r="D404" s="10">
        <v>0.25</v>
      </c>
      <c r="E404" s="14">
        <v>2652197950</v>
      </c>
      <c r="F404" s="14">
        <f t="shared" si="30"/>
        <v>795659385</v>
      </c>
      <c r="G404" s="14">
        <v>684603.13899999997</v>
      </c>
      <c r="H404" s="14">
        <f t="shared" si="31"/>
        <v>205380.9417</v>
      </c>
      <c r="I404" s="14">
        <f t="shared" si="34"/>
        <v>663049487.5</v>
      </c>
      <c r="J404" s="14">
        <f t="shared" si="32"/>
        <v>198914846.25</v>
      </c>
      <c r="K404" s="11">
        <f t="shared" si="33"/>
        <v>5.1176651264516533</v>
      </c>
    </row>
    <row r="405" spans="1:11" x14ac:dyDescent="0.3">
      <c r="A405" s="8" t="s">
        <v>555</v>
      </c>
      <c r="B405" s="8" t="s">
        <v>558</v>
      </c>
      <c r="C405" s="12" t="s">
        <v>7</v>
      </c>
      <c r="D405" s="10">
        <v>0.25</v>
      </c>
      <c r="E405" s="14">
        <v>1912350321</v>
      </c>
      <c r="F405" s="14">
        <f t="shared" si="30"/>
        <v>573705096.29999995</v>
      </c>
      <c r="G405" s="14">
        <v>1130414.845</v>
      </c>
      <c r="H405" s="14">
        <f t="shared" si="31"/>
        <v>339124.4535</v>
      </c>
      <c r="I405" s="14">
        <f t="shared" si="34"/>
        <v>478087580.25</v>
      </c>
      <c r="J405" s="14">
        <f t="shared" si="32"/>
        <v>143426274.07499999</v>
      </c>
      <c r="K405" s="11">
        <f t="shared" si="33"/>
        <v>3.6900596153994933</v>
      </c>
    </row>
    <row r="406" spans="1:11" x14ac:dyDescent="0.3">
      <c r="A406" s="8" t="s">
        <v>555</v>
      </c>
      <c r="B406" s="8" t="s">
        <v>559</v>
      </c>
      <c r="C406" s="12" t="s">
        <v>7</v>
      </c>
      <c r="D406" s="10">
        <v>0.25</v>
      </c>
      <c r="E406" s="14">
        <v>1467846970</v>
      </c>
      <c r="F406" s="14">
        <f t="shared" si="30"/>
        <v>440354091</v>
      </c>
      <c r="G406" s="14">
        <v>1065756.487</v>
      </c>
      <c r="H406" s="14">
        <f t="shared" si="31"/>
        <v>319726.9461</v>
      </c>
      <c r="I406" s="14">
        <f t="shared" si="34"/>
        <v>366961742.5</v>
      </c>
      <c r="J406" s="14">
        <f t="shared" si="32"/>
        <v>110088522.75</v>
      </c>
      <c r="K406" s="11">
        <f t="shared" si="33"/>
        <v>2.8323486372262394</v>
      </c>
    </row>
    <row r="407" spans="1:11" x14ac:dyDescent="0.3">
      <c r="A407" s="8" t="s">
        <v>555</v>
      </c>
      <c r="B407" s="8" t="s">
        <v>560</v>
      </c>
      <c r="C407" s="12" t="s">
        <v>7</v>
      </c>
      <c r="D407" s="10">
        <v>0.25</v>
      </c>
      <c r="E407" s="14">
        <v>998763700</v>
      </c>
      <c r="F407" s="14">
        <f t="shared" si="30"/>
        <v>299629110</v>
      </c>
      <c r="G407" s="14">
        <v>663326.03</v>
      </c>
      <c r="H407" s="14">
        <f t="shared" si="31"/>
        <v>198997.80900000001</v>
      </c>
      <c r="I407" s="14">
        <f t="shared" si="34"/>
        <v>249690925</v>
      </c>
      <c r="J407" s="14">
        <f t="shared" si="32"/>
        <v>74907277.5</v>
      </c>
      <c r="K407" s="11">
        <f t="shared" si="33"/>
        <v>1.9272083959856092</v>
      </c>
    </row>
    <row r="408" spans="1:11" x14ac:dyDescent="0.3">
      <c r="A408" s="8" t="s">
        <v>555</v>
      </c>
      <c r="B408" s="8" t="s">
        <v>561</v>
      </c>
      <c r="C408" s="12" t="s">
        <v>7</v>
      </c>
      <c r="D408" s="10">
        <v>0.25</v>
      </c>
      <c r="E408" s="14">
        <v>848033820</v>
      </c>
      <c r="F408" s="14">
        <f t="shared" si="30"/>
        <v>254410146</v>
      </c>
      <c r="G408" s="14">
        <v>490477.1</v>
      </c>
      <c r="H408" s="14">
        <f t="shared" si="31"/>
        <v>147143.12999999998</v>
      </c>
      <c r="I408" s="14">
        <f t="shared" si="34"/>
        <v>212008455</v>
      </c>
      <c r="J408" s="14">
        <f t="shared" si="32"/>
        <v>63602536.5</v>
      </c>
      <c r="K408" s="11">
        <f t="shared" si="33"/>
        <v>1.6363609310027476</v>
      </c>
    </row>
    <row r="409" spans="1:11" x14ac:dyDescent="0.3">
      <c r="A409" s="8" t="s">
        <v>555</v>
      </c>
      <c r="B409" s="8" t="s">
        <v>562</v>
      </c>
      <c r="C409" s="12" t="s">
        <v>7</v>
      </c>
      <c r="D409" s="10">
        <v>0.25</v>
      </c>
      <c r="E409" s="14">
        <v>689168180</v>
      </c>
      <c r="F409" s="14">
        <f t="shared" si="30"/>
        <v>206750454</v>
      </c>
      <c r="G409" s="14">
        <v>459329.6</v>
      </c>
      <c r="H409" s="14">
        <f t="shared" si="31"/>
        <v>137798.87999999998</v>
      </c>
      <c r="I409" s="14">
        <f t="shared" si="34"/>
        <v>172292045</v>
      </c>
      <c r="J409" s="14">
        <f t="shared" si="32"/>
        <v>51687613.5</v>
      </c>
      <c r="K409" s="11">
        <f t="shared" si="33"/>
        <v>1.3298147527209105</v>
      </c>
    </row>
    <row r="410" spans="1:11" x14ac:dyDescent="0.3">
      <c r="A410" s="8" t="s">
        <v>555</v>
      </c>
      <c r="B410" s="8" t="s">
        <v>563</v>
      </c>
      <c r="C410" s="12" t="s">
        <v>7</v>
      </c>
      <c r="D410" s="10">
        <v>0.25</v>
      </c>
      <c r="E410" s="14">
        <v>630747110</v>
      </c>
      <c r="F410" s="14">
        <f t="shared" si="30"/>
        <v>189224133</v>
      </c>
      <c r="G410" s="14">
        <v>356222.25</v>
      </c>
      <c r="H410" s="14">
        <f t="shared" si="31"/>
        <v>106866.675</v>
      </c>
      <c r="I410" s="14">
        <f t="shared" si="34"/>
        <v>157686777.5</v>
      </c>
      <c r="J410" s="14">
        <f t="shared" si="32"/>
        <v>47306033.25</v>
      </c>
      <c r="K410" s="11">
        <f t="shared" si="33"/>
        <v>1.2170858093217232</v>
      </c>
    </row>
    <row r="411" spans="1:11" x14ac:dyDescent="0.3">
      <c r="A411" s="8" t="s">
        <v>555</v>
      </c>
      <c r="B411" s="8" t="s">
        <v>564</v>
      </c>
      <c r="C411" s="12" t="s">
        <v>7</v>
      </c>
      <c r="D411" s="10">
        <v>0.25</v>
      </c>
      <c r="E411" s="14">
        <v>422392200</v>
      </c>
      <c r="F411" s="14">
        <f t="shared" si="30"/>
        <v>126717660</v>
      </c>
      <c r="G411" s="14">
        <v>299622.42</v>
      </c>
      <c r="H411" s="14">
        <f t="shared" si="31"/>
        <v>89886.725999999995</v>
      </c>
      <c r="I411" s="14">
        <f t="shared" si="34"/>
        <v>105598050</v>
      </c>
      <c r="J411" s="14">
        <f t="shared" si="32"/>
        <v>31679415</v>
      </c>
      <c r="K411" s="11">
        <f t="shared" si="33"/>
        <v>0.81504543491001191</v>
      </c>
    </row>
    <row r="412" spans="1:11" x14ac:dyDescent="0.3">
      <c r="A412" s="8" t="s">
        <v>555</v>
      </c>
      <c r="B412" s="8" t="s">
        <v>565</v>
      </c>
      <c r="C412" s="12" t="s">
        <v>7</v>
      </c>
      <c r="D412" s="10">
        <v>0.25</v>
      </c>
      <c r="E412" s="14">
        <v>351247480</v>
      </c>
      <c r="F412" s="14">
        <f t="shared" si="30"/>
        <v>105374244</v>
      </c>
      <c r="G412" s="14">
        <v>210555.22399999999</v>
      </c>
      <c r="H412" s="14">
        <f t="shared" si="31"/>
        <v>63166.56719999999</v>
      </c>
      <c r="I412" s="14">
        <f t="shared" si="34"/>
        <v>87811870</v>
      </c>
      <c r="J412" s="14">
        <f t="shared" si="32"/>
        <v>26343561</v>
      </c>
      <c r="K412" s="11">
        <f t="shared" si="33"/>
        <v>0.67776501341086726</v>
      </c>
    </row>
    <row r="413" spans="1:11" x14ac:dyDescent="0.3">
      <c r="A413" s="8" t="s">
        <v>555</v>
      </c>
      <c r="B413" s="8" t="s">
        <v>566</v>
      </c>
      <c r="C413" s="12" t="s">
        <v>7</v>
      </c>
      <c r="D413" s="10">
        <v>0.25</v>
      </c>
      <c r="E413" s="14">
        <v>293663090</v>
      </c>
      <c r="F413" s="14">
        <f t="shared" si="30"/>
        <v>88098927</v>
      </c>
      <c r="G413" s="14">
        <v>165766.84</v>
      </c>
      <c r="H413" s="14">
        <f t="shared" si="31"/>
        <v>49730.051999999996</v>
      </c>
      <c r="I413" s="14">
        <f t="shared" si="34"/>
        <v>73415772.5</v>
      </c>
      <c r="J413" s="14">
        <f t="shared" si="32"/>
        <v>22024731.75</v>
      </c>
      <c r="K413" s="11">
        <f t="shared" si="33"/>
        <v>0.56665052268026728</v>
      </c>
    </row>
    <row r="414" spans="1:11" x14ac:dyDescent="0.3">
      <c r="A414" s="8" t="s">
        <v>555</v>
      </c>
      <c r="B414" s="8" t="s">
        <v>567</v>
      </c>
      <c r="C414" s="12" t="s">
        <v>7</v>
      </c>
      <c r="D414" s="10">
        <v>0.25</v>
      </c>
      <c r="E414" s="14">
        <v>184931190</v>
      </c>
      <c r="F414" s="14">
        <f t="shared" si="30"/>
        <v>55479357</v>
      </c>
      <c r="G414" s="14">
        <v>120389.84</v>
      </c>
      <c r="H414" s="14">
        <f t="shared" si="31"/>
        <v>36116.951999999997</v>
      </c>
      <c r="I414" s="14">
        <f t="shared" si="34"/>
        <v>46232797.5</v>
      </c>
      <c r="J414" s="14">
        <f t="shared" si="32"/>
        <v>13869839.25</v>
      </c>
      <c r="K414" s="11">
        <f t="shared" si="33"/>
        <v>0.35684210594318749</v>
      </c>
    </row>
    <row r="415" spans="1:11" x14ac:dyDescent="0.3">
      <c r="A415" s="8" t="s">
        <v>555</v>
      </c>
      <c r="B415" s="8" t="s">
        <v>568</v>
      </c>
      <c r="C415" s="12" t="s">
        <v>7</v>
      </c>
      <c r="D415" s="10">
        <v>0.25</v>
      </c>
      <c r="E415" s="14">
        <v>182243010</v>
      </c>
      <c r="F415" s="14">
        <f t="shared" si="30"/>
        <v>54672903</v>
      </c>
      <c r="G415" s="14">
        <v>125944.53</v>
      </c>
      <c r="H415" s="14">
        <f t="shared" si="31"/>
        <v>37783.358999999997</v>
      </c>
      <c r="I415" s="14">
        <f t="shared" si="34"/>
        <v>45560752.5</v>
      </c>
      <c r="J415" s="14">
        <f t="shared" si="32"/>
        <v>13668225.75</v>
      </c>
      <c r="K415" s="11">
        <f t="shared" si="33"/>
        <v>0.35165501007063971</v>
      </c>
    </row>
    <row r="416" spans="1:11" x14ac:dyDescent="0.3">
      <c r="A416" s="8" t="s">
        <v>555</v>
      </c>
      <c r="B416" s="8" t="s">
        <v>569</v>
      </c>
      <c r="C416" s="12" t="s">
        <v>7</v>
      </c>
      <c r="D416" s="10">
        <v>0.25</v>
      </c>
      <c r="E416" s="14">
        <v>175321070</v>
      </c>
      <c r="F416" s="14">
        <f t="shared" si="30"/>
        <v>52596321</v>
      </c>
      <c r="G416" s="14">
        <v>133280.20000000001</v>
      </c>
      <c r="H416" s="14">
        <f t="shared" si="31"/>
        <v>39984.060000000005</v>
      </c>
      <c r="I416" s="14">
        <f t="shared" si="34"/>
        <v>43830267.5</v>
      </c>
      <c r="J416" s="14">
        <f t="shared" si="32"/>
        <v>13149080.25</v>
      </c>
      <c r="K416" s="11">
        <f t="shared" si="33"/>
        <v>0.33829847650368222</v>
      </c>
    </row>
    <row r="417" spans="1:11" x14ac:dyDescent="0.3">
      <c r="A417" s="8" t="s">
        <v>555</v>
      </c>
      <c r="B417" s="8" t="s">
        <v>570</v>
      </c>
      <c r="C417" s="12" t="s">
        <v>7</v>
      </c>
      <c r="D417" s="10">
        <v>0.25</v>
      </c>
      <c r="E417" s="14">
        <v>161925829.16</v>
      </c>
      <c r="F417" s="14">
        <f t="shared" si="30"/>
        <v>48577748.747999996</v>
      </c>
      <c r="G417" s="14">
        <v>92972.73</v>
      </c>
      <c r="H417" s="14">
        <f t="shared" si="31"/>
        <v>27891.819</v>
      </c>
      <c r="I417" s="14">
        <f t="shared" si="34"/>
        <v>40481457.289999999</v>
      </c>
      <c r="J417" s="14">
        <f t="shared" si="32"/>
        <v>12144437.186999999</v>
      </c>
      <c r="K417" s="11">
        <f t="shared" si="33"/>
        <v>0.31245110077997768</v>
      </c>
    </row>
    <row r="418" spans="1:11" x14ac:dyDescent="0.3">
      <c r="A418" s="8" t="s">
        <v>555</v>
      </c>
      <c r="B418" s="8" t="s">
        <v>571</v>
      </c>
      <c r="C418" s="12" t="s">
        <v>7</v>
      </c>
      <c r="D418" s="10">
        <v>0.25</v>
      </c>
      <c r="E418" s="14">
        <v>117733030</v>
      </c>
      <c r="F418" s="14">
        <f t="shared" si="30"/>
        <v>35319909</v>
      </c>
      <c r="G418" s="14">
        <v>92232.99</v>
      </c>
      <c r="H418" s="14">
        <f t="shared" si="31"/>
        <v>27669.897000000001</v>
      </c>
      <c r="I418" s="14">
        <f t="shared" si="34"/>
        <v>29433257.5</v>
      </c>
      <c r="J418" s="14">
        <f t="shared" si="32"/>
        <v>8829977.25</v>
      </c>
      <c r="K418" s="11">
        <f t="shared" si="33"/>
        <v>0.22717694275515382</v>
      </c>
    </row>
    <row r="419" spans="1:11" x14ac:dyDescent="0.3">
      <c r="A419" s="8" t="s">
        <v>555</v>
      </c>
      <c r="B419" s="8" t="s">
        <v>572</v>
      </c>
      <c r="C419" s="12" t="s">
        <v>7</v>
      </c>
      <c r="D419" s="10">
        <v>0.25</v>
      </c>
      <c r="E419" s="14">
        <v>110675000</v>
      </c>
      <c r="F419" s="14">
        <f t="shared" si="30"/>
        <v>33202500</v>
      </c>
      <c r="G419" s="14">
        <v>79780.12</v>
      </c>
      <c r="H419" s="14">
        <f t="shared" si="31"/>
        <v>23934.035999999996</v>
      </c>
      <c r="I419" s="14">
        <f t="shared" si="34"/>
        <v>27668750</v>
      </c>
      <c r="J419" s="14">
        <f t="shared" si="32"/>
        <v>8300625</v>
      </c>
      <c r="K419" s="11">
        <f t="shared" si="33"/>
        <v>0.21355781074713398</v>
      </c>
    </row>
    <row r="420" spans="1:11" x14ac:dyDescent="0.3">
      <c r="A420" s="8" t="s">
        <v>555</v>
      </c>
      <c r="B420" s="8" t="s">
        <v>573</v>
      </c>
      <c r="C420" s="12" t="s">
        <v>7</v>
      </c>
      <c r="D420" s="10">
        <v>0.25</v>
      </c>
      <c r="E420" s="14">
        <v>92046850</v>
      </c>
      <c r="F420" s="14">
        <f t="shared" si="30"/>
        <v>27614055</v>
      </c>
      <c r="G420" s="14">
        <v>67462.41</v>
      </c>
      <c r="H420" s="14">
        <f t="shared" si="31"/>
        <v>20238.723000000002</v>
      </c>
      <c r="I420" s="14">
        <f t="shared" si="34"/>
        <v>23011712.5</v>
      </c>
      <c r="J420" s="14">
        <f t="shared" si="32"/>
        <v>6903513.75</v>
      </c>
      <c r="K420" s="11">
        <f t="shared" si="33"/>
        <v>0.17761304515174908</v>
      </c>
    </row>
    <row r="421" spans="1:11" x14ac:dyDescent="0.3">
      <c r="A421" s="8" t="s">
        <v>555</v>
      </c>
      <c r="B421" s="8" t="s">
        <v>574</v>
      </c>
      <c r="C421" s="12" t="s">
        <v>7</v>
      </c>
      <c r="D421" s="10">
        <v>0.25</v>
      </c>
      <c r="E421" s="14">
        <v>87360650</v>
      </c>
      <c r="F421" s="14">
        <f t="shared" si="30"/>
        <v>26208195</v>
      </c>
      <c r="G421" s="14">
        <v>51485.599999999999</v>
      </c>
      <c r="H421" s="14">
        <f t="shared" si="31"/>
        <v>15445.679999999998</v>
      </c>
      <c r="I421" s="14">
        <f t="shared" si="34"/>
        <v>21840162.5</v>
      </c>
      <c r="J421" s="14">
        <f t="shared" si="32"/>
        <v>6552048.75</v>
      </c>
      <c r="K421" s="11">
        <f t="shared" si="33"/>
        <v>0.16857058196924879</v>
      </c>
    </row>
    <row r="422" spans="1:11" x14ac:dyDescent="0.3">
      <c r="A422" s="8" t="s">
        <v>555</v>
      </c>
      <c r="B422" s="8" t="s">
        <v>576</v>
      </c>
      <c r="C422" s="12" t="s">
        <v>7</v>
      </c>
      <c r="D422" s="10">
        <v>0.25</v>
      </c>
      <c r="E422" s="14">
        <v>64652870</v>
      </c>
      <c r="F422" s="14">
        <f t="shared" si="30"/>
        <v>19395861</v>
      </c>
      <c r="G422" s="14">
        <v>38031.71</v>
      </c>
      <c r="H422" s="14">
        <f t="shared" si="31"/>
        <v>11409.512999999999</v>
      </c>
      <c r="I422" s="14">
        <f t="shared" si="34"/>
        <v>16163217.5</v>
      </c>
      <c r="J422" s="14">
        <f t="shared" si="32"/>
        <v>4848965.25</v>
      </c>
      <c r="K422" s="11">
        <f t="shared" si="33"/>
        <v>0.12475378699542856</v>
      </c>
    </row>
    <row r="423" spans="1:11" x14ac:dyDescent="0.3">
      <c r="A423" s="8" t="s">
        <v>555</v>
      </c>
      <c r="B423" s="8" t="s">
        <v>577</v>
      </c>
      <c r="C423" s="12" t="s">
        <v>7</v>
      </c>
      <c r="D423" s="10">
        <v>0.25</v>
      </c>
      <c r="E423" s="14">
        <v>64582830</v>
      </c>
      <c r="F423" s="14">
        <f t="shared" si="30"/>
        <v>19374849</v>
      </c>
      <c r="G423" s="14">
        <v>45606.53</v>
      </c>
      <c r="H423" s="14">
        <f t="shared" si="31"/>
        <v>13681.958999999999</v>
      </c>
      <c r="I423" s="14">
        <f t="shared" si="34"/>
        <v>16145707.5</v>
      </c>
      <c r="J423" s="14">
        <f t="shared" si="32"/>
        <v>4843712.25</v>
      </c>
      <c r="K423" s="11">
        <f t="shared" si="33"/>
        <v>0.12461863823496117</v>
      </c>
    </row>
    <row r="424" spans="1:11" x14ac:dyDescent="0.3">
      <c r="A424" s="8" t="s">
        <v>555</v>
      </c>
      <c r="B424" s="8" t="s">
        <v>578</v>
      </c>
      <c r="C424" s="12" t="s">
        <v>7</v>
      </c>
      <c r="D424" s="10">
        <v>0.25</v>
      </c>
      <c r="E424" s="14">
        <v>57788100</v>
      </c>
      <c r="F424" s="14">
        <f t="shared" si="30"/>
        <v>17336430</v>
      </c>
      <c r="G424" s="14">
        <v>37384.949999999997</v>
      </c>
      <c r="H424" s="14">
        <f t="shared" si="31"/>
        <v>11215.484999999999</v>
      </c>
      <c r="I424" s="14">
        <f t="shared" si="34"/>
        <v>14447025</v>
      </c>
      <c r="J424" s="14">
        <f t="shared" si="32"/>
        <v>4334107.5</v>
      </c>
      <c r="K424" s="11">
        <f t="shared" si="33"/>
        <v>0.11150756831476354</v>
      </c>
    </row>
    <row r="425" spans="1:11" x14ac:dyDescent="0.3">
      <c r="A425" s="8" t="s">
        <v>555</v>
      </c>
      <c r="B425" s="8" t="s">
        <v>579</v>
      </c>
      <c r="C425" s="12" t="s">
        <v>7</v>
      </c>
      <c r="D425" s="10">
        <v>0.25</v>
      </c>
      <c r="E425" s="14">
        <v>57765850</v>
      </c>
      <c r="F425" s="14">
        <f t="shared" si="30"/>
        <v>17329755</v>
      </c>
      <c r="G425" s="14">
        <v>34806.239999999998</v>
      </c>
      <c r="H425" s="14">
        <f t="shared" si="31"/>
        <v>10441.871999999999</v>
      </c>
      <c r="I425" s="14">
        <f t="shared" si="34"/>
        <v>14441462.5</v>
      </c>
      <c r="J425" s="14">
        <f t="shared" si="32"/>
        <v>4332438.75</v>
      </c>
      <c r="K425" s="11">
        <f t="shared" si="33"/>
        <v>0.1114646348493095</v>
      </c>
    </row>
    <row r="426" spans="1:11" x14ac:dyDescent="0.3">
      <c r="A426" s="8" t="s">
        <v>555</v>
      </c>
      <c r="B426" s="8" t="s">
        <v>580</v>
      </c>
      <c r="C426" s="12" t="s">
        <v>7</v>
      </c>
      <c r="D426" s="10">
        <v>0.25</v>
      </c>
      <c r="E426" s="14">
        <v>52745000</v>
      </c>
      <c r="F426" s="14">
        <f t="shared" si="30"/>
        <v>15823500</v>
      </c>
      <c r="G426" s="14">
        <v>37259.379999999997</v>
      </c>
      <c r="H426" s="14">
        <f t="shared" si="31"/>
        <v>11177.813999999998</v>
      </c>
      <c r="I426" s="14">
        <f t="shared" si="34"/>
        <v>13186250</v>
      </c>
      <c r="J426" s="14">
        <f t="shared" si="32"/>
        <v>3955875</v>
      </c>
      <c r="K426" s="11">
        <f t="shared" si="33"/>
        <v>0.10177643305044122</v>
      </c>
    </row>
    <row r="427" spans="1:11" x14ac:dyDescent="0.3">
      <c r="A427" s="8" t="s">
        <v>555</v>
      </c>
      <c r="B427" s="8" t="s">
        <v>581</v>
      </c>
      <c r="C427" s="12" t="s">
        <v>7</v>
      </c>
      <c r="D427" s="10">
        <v>0.25</v>
      </c>
      <c r="E427" s="14">
        <v>50765640</v>
      </c>
      <c r="F427" s="14">
        <f t="shared" si="30"/>
        <v>15229692</v>
      </c>
      <c r="G427" s="14">
        <v>36428.379999999997</v>
      </c>
      <c r="H427" s="14">
        <f t="shared" si="31"/>
        <v>10928.513999999999</v>
      </c>
      <c r="I427" s="14">
        <f t="shared" si="34"/>
        <v>12691410</v>
      </c>
      <c r="J427" s="14">
        <f t="shared" si="32"/>
        <v>3807423</v>
      </c>
      <c r="K427" s="11">
        <f t="shared" si="33"/>
        <v>9.7957071963651554E-2</v>
      </c>
    </row>
    <row r="428" spans="1:11" x14ac:dyDescent="0.3">
      <c r="A428" s="8" t="s">
        <v>555</v>
      </c>
      <c r="B428" s="8" t="s">
        <v>582</v>
      </c>
      <c r="C428" s="12" t="s">
        <v>7</v>
      </c>
      <c r="D428" s="10">
        <v>0.25</v>
      </c>
      <c r="E428" s="14">
        <v>46760000</v>
      </c>
      <c r="F428" s="14">
        <f t="shared" si="30"/>
        <v>14028000</v>
      </c>
      <c r="G428" s="14">
        <v>33121</v>
      </c>
      <c r="H428" s="14">
        <f t="shared" si="31"/>
        <v>9936.2999999999993</v>
      </c>
      <c r="I428" s="14">
        <f t="shared" si="34"/>
        <v>11690000</v>
      </c>
      <c r="J428" s="14">
        <f t="shared" si="32"/>
        <v>3507000</v>
      </c>
      <c r="K428" s="11">
        <f t="shared" si="33"/>
        <v>9.0227813241797919E-2</v>
      </c>
    </row>
    <row r="429" spans="1:11" x14ac:dyDescent="0.3">
      <c r="A429" s="8" t="s">
        <v>555</v>
      </c>
      <c r="B429" s="8" t="s">
        <v>583</v>
      </c>
      <c r="C429" s="12" t="s">
        <v>7</v>
      </c>
      <c r="D429" s="10">
        <v>0.25</v>
      </c>
      <c r="E429" s="14">
        <v>38319800</v>
      </c>
      <c r="F429" s="14">
        <f t="shared" si="30"/>
        <v>11495940</v>
      </c>
      <c r="G429" s="14">
        <v>19284.04</v>
      </c>
      <c r="H429" s="14">
        <f t="shared" si="31"/>
        <v>5785.2120000000004</v>
      </c>
      <c r="I429" s="14">
        <f t="shared" si="34"/>
        <v>9579950</v>
      </c>
      <c r="J429" s="14">
        <f t="shared" si="32"/>
        <v>2873985</v>
      </c>
      <c r="K429" s="11">
        <f t="shared" si="33"/>
        <v>7.3941654359774345E-2</v>
      </c>
    </row>
    <row r="430" spans="1:11" x14ac:dyDescent="0.3">
      <c r="A430" s="8" t="s">
        <v>555</v>
      </c>
      <c r="B430" s="8" t="s">
        <v>584</v>
      </c>
      <c r="C430" s="12" t="s">
        <v>7</v>
      </c>
      <c r="D430" s="10">
        <v>0.25</v>
      </c>
      <c r="E430" s="14">
        <v>33567100</v>
      </c>
      <c r="F430" s="14">
        <f t="shared" si="30"/>
        <v>10070130</v>
      </c>
      <c r="G430" s="14">
        <v>30736.63</v>
      </c>
      <c r="H430" s="14">
        <f t="shared" si="31"/>
        <v>9220.9889999999996</v>
      </c>
      <c r="I430" s="14">
        <f t="shared" si="34"/>
        <v>8391775</v>
      </c>
      <c r="J430" s="14">
        <f t="shared" si="32"/>
        <v>2517532.5</v>
      </c>
      <c r="K430" s="11">
        <f t="shared" si="33"/>
        <v>6.4770873179400237E-2</v>
      </c>
    </row>
    <row r="431" spans="1:11" x14ac:dyDescent="0.3">
      <c r="A431" s="8" t="s">
        <v>555</v>
      </c>
      <c r="B431" s="8" t="s">
        <v>585</v>
      </c>
      <c r="C431" s="12" t="s">
        <v>7</v>
      </c>
      <c r="D431" s="10">
        <v>0.25</v>
      </c>
      <c r="E431" s="14">
        <v>27061090</v>
      </c>
      <c r="F431" s="14">
        <f t="shared" si="30"/>
        <v>8118327</v>
      </c>
      <c r="G431" s="14">
        <v>15623.25</v>
      </c>
      <c r="H431" s="14">
        <f t="shared" si="31"/>
        <v>4686.9749999999995</v>
      </c>
      <c r="I431" s="14">
        <f t="shared" si="34"/>
        <v>6765272.5</v>
      </c>
      <c r="J431" s="14">
        <f t="shared" si="32"/>
        <v>2029581.75</v>
      </c>
      <c r="K431" s="11">
        <f t="shared" si="33"/>
        <v>5.2216915625309786E-2</v>
      </c>
    </row>
    <row r="432" spans="1:11" x14ac:dyDescent="0.3">
      <c r="A432" s="8" t="s">
        <v>555</v>
      </c>
      <c r="B432" s="8" t="s">
        <v>586</v>
      </c>
      <c r="C432" s="12" t="s">
        <v>7</v>
      </c>
      <c r="D432" s="10">
        <v>0.25</v>
      </c>
      <c r="E432" s="14">
        <v>25065120</v>
      </c>
      <c r="F432" s="14">
        <f t="shared" si="30"/>
        <v>7519536</v>
      </c>
      <c r="G432" s="14">
        <v>14856.09</v>
      </c>
      <c r="H432" s="14">
        <f t="shared" si="31"/>
        <v>4456.8270000000002</v>
      </c>
      <c r="I432" s="14">
        <f t="shared" si="34"/>
        <v>6266280</v>
      </c>
      <c r="J432" s="14">
        <f t="shared" si="32"/>
        <v>1879884</v>
      </c>
      <c r="K432" s="11">
        <f t="shared" si="33"/>
        <v>4.8365503982960953E-2</v>
      </c>
    </row>
    <row r="433" spans="1:11" x14ac:dyDescent="0.3">
      <c r="A433" s="8" t="s">
        <v>555</v>
      </c>
      <c r="B433" s="8" t="s">
        <v>587</v>
      </c>
      <c r="C433" s="12" t="s">
        <v>7</v>
      </c>
      <c r="D433" s="10">
        <v>0.25</v>
      </c>
      <c r="E433" s="14">
        <v>18019100</v>
      </c>
      <c r="F433" s="14">
        <f t="shared" si="30"/>
        <v>5405730</v>
      </c>
      <c r="G433" s="14">
        <v>11200.16</v>
      </c>
      <c r="H433" s="14">
        <f t="shared" si="31"/>
        <v>3360.0479999999998</v>
      </c>
      <c r="I433" s="14">
        <f t="shared" si="34"/>
        <v>4504775</v>
      </c>
      <c r="J433" s="14">
        <f t="shared" si="32"/>
        <v>1351432.5</v>
      </c>
      <c r="K433" s="11">
        <f t="shared" si="33"/>
        <v>3.4769546398316531E-2</v>
      </c>
    </row>
    <row r="434" spans="1:11" x14ac:dyDescent="0.3">
      <c r="A434" s="8" t="s">
        <v>555</v>
      </c>
      <c r="B434" s="8" t="s">
        <v>588</v>
      </c>
      <c r="C434" s="12" t="s">
        <v>7</v>
      </c>
      <c r="D434" s="10">
        <v>0.25</v>
      </c>
      <c r="E434" s="14">
        <v>15470000</v>
      </c>
      <c r="F434" s="14">
        <f t="shared" si="30"/>
        <v>4641000</v>
      </c>
      <c r="G434" s="14">
        <v>5578.3</v>
      </c>
      <c r="H434" s="14">
        <f t="shared" si="31"/>
        <v>1673.49</v>
      </c>
      <c r="I434" s="14">
        <f t="shared" si="34"/>
        <v>3867500</v>
      </c>
      <c r="J434" s="14">
        <f t="shared" si="32"/>
        <v>1160250</v>
      </c>
      <c r="K434" s="11">
        <f t="shared" si="33"/>
        <v>2.9850818452750512E-2</v>
      </c>
    </row>
    <row r="435" spans="1:11" x14ac:dyDescent="0.3">
      <c r="A435" s="8" t="s">
        <v>555</v>
      </c>
      <c r="B435" s="8" t="s">
        <v>589</v>
      </c>
      <c r="C435" s="12" t="s">
        <v>7</v>
      </c>
      <c r="D435" s="10">
        <v>0.25</v>
      </c>
      <c r="E435" s="14">
        <v>14000000</v>
      </c>
      <c r="F435" s="14">
        <f t="shared" si="30"/>
        <v>4200000</v>
      </c>
      <c r="G435" s="14">
        <v>9100</v>
      </c>
      <c r="H435" s="14">
        <f t="shared" si="31"/>
        <v>2730</v>
      </c>
      <c r="I435" s="14">
        <f t="shared" si="34"/>
        <v>3500000</v>
      </c>
      <c r="J435" s="14">
        <f t="shared" si="32"/>
        <v>1050000</v>
      </c>
      <c r="K435" s="11">
        <f t="shared" si="33"/>
        <v>2.7014315341855666E-2</v>
      </c>
    </row>
    <row r="436" spans="1:11" x14ac:dyDescent="0.3">
      <c r="A436" s="8" t="s">
        <v>555</v>
      </c>
      <c r="B436" s="8" t="s">
        <v>590</v>
      </c>
      <c r="C436" s="12" t="s">
        <v>7</v>
      </c>
      <c r="D436" s="10">
        <v>0.25</v>
      </c>
      <c r="E436" s="14">
        <v>7820000</v>
      </c>
      <c r="F436" s="14">
        <f t="shared" si="30"/>
        <v>2346000</v>
      </c>
      <c r="G436" s="14">
        <v>6320</v>
      </c>
      <c r="H436" s="14">
        <f t="shared" si="31"/>
        <v>1896</v>
      </c>
      <c r="I436" s="14">
        <f t="shared" si="34"/>
        <v>1955000</v>
      </c>
      <c r="J436" s="14">
        <f t="shared" si="32"/>
        <v>586500</v>
      </c>
      <c r="K436" s="11">
        <f t="shared" si="33"/>
        <v>1.508942471237938E-2</v>
      </c>
    </row>
    <row r="437" spans="1:11" x14ac:dyDescent="0.3">
      <c r="A437" s="8" t="s">
        <v>555</v>
      </c>
      <c r="B437" s="8" t="s">
        <v>591</v>
      </c>
      <c r="C437" s="12" t="s">
        <v>7</v>
      </c>
      <c r="D437" s="10">
        <v>0.25</v>
      </c>
      <c r="E437" s="14">
        <v>6720000</v>
      </c>
      <c r="F437" s="14">
        <f t="shared" si="30"/>
        <v>2016000</v>
      </c>
      <c r="G437" s="14">
        <v>4368</v>
      </c>
      <c r="H437" s="14">
        <f t="shared" si="31"/>
        <v>1310.3999999999999</v>
      </c>
      <c r="I437" s="14">
        <f t="shared" si="34"/>
        <v>1680000</v>
      </c>
      <c r="J437" s="14">
        <f t="shared" si="32"/>
        <v>504000</v>
      </c>
      <c r="K437" s="11">
        <f t="shared" si="33"/>
        <v>1.2966871364090721E-2</v>
      </c>
    </row>
    <row r="438" spans="1:11" x14ac:dyDescent="0.3">
      <c r="A438" s="8" t="s">
        <v>555</v>
      </c>
      <c r="B438" s="8" t="s">
        <v>592</v>
      </c>
      <c r="C438" s="12" t="s">
        <v>7</v>
      </c>
      <c r="D438" s="10">
        <v>0.25</v>
      </c>
      <c r="E438" s="14">
        <v>4550000</v>
      </c>
      <c r="F438" s="14">
        <f t="shared" si="30"/>
        <v>1365000</v>
      </c>
      <c r="G438" s="14">
        <v>1800</v>
      </c>
      <c r="H438" s="14">
        <f t="shared" si="31"/>
        <v>540</v>
      </c>
      <c r="I438" s="14">
        <f t="shared" si="34"/>
        <v>1137500</v>
      </c>
      <c r="J438" s="14">
        <f t="shared" si="32"/>
        <v>341250</v>
      </c>
      <c r="K438" s="11">
        <f t="shared" si="33"/>
        <v>8.7796524861030924E-3</v>
      </c>
    </row>
    <row r="439" spans="1:11" x14ac:dyDescent="0.3">
      <c r="A439" s="8" t="s">
        <v>555</v>
      </c>
      <c r="B439" s="8" t="s">
        <v>593</v>
      </c>
      <c r="C439" s="12" t="s">
        <v>7</v>
      </c>
      <c r="D439" s="10">
        <v>0.25</v>
      </c>
      <c r="E439" s="14">
        <v>4200000</v>
      </c>
      <c r="F439" s="14">
        <f t="shared" si="30"/>
        <v>1260000</v>
      </c>
      <c r="G439" s="14">
        <v>1500</v>
      </c>
      <c r="H439" s="14">
        <f t="shared" si="31"/>
        <v>450</v>
      </c>
      <c r="I439" s="14">
        <f t="shared" si="34"/>
        <v>1050000</v>
      </c>
      <c r="J439" s="14">
        <f t="shared" si="32"/>
        <v>315000</v>
      </c>
      <c r="K439" s="11">
        <f t="shared" si="33"/>
        <v>8.1042946025567004E-3</v>
      </c>
    </row>
    <row r="440" spans="1:11" x14ac:dyDescent="0.3">
      <c r="A440" s="8" t="s">
        <v>555</v>
      </c>
      <c r="B440" s="8" t="s">
        <v>594</v>
      </c>
      <c r="C440" s="12" t="s">
        <v>7</v>
      </c>
      <c r="D440" s="10">
        <v>0.25</v>
      </c>
      <c r="E440" s="14">
        <v>4060000</v>
      </c>
      <c r="F440" s="14">
        <f t="shared" si="30"/>
        <v>1218000</v>
      </c>
      <c r="G440" s="14">
        <v>3547.5</v>
      </c>
      <c r="H440" s="14">
        <f t="shared" si="31"/>
        <v>1064.25</v>
      </c>
      <c r="I440" s="14">
        <f t="shared" si="34"/>
        <v>1015000</v>
      </c>
      <c r="J440" s="14">
        <f t="shared" si="32"/>
        <v>304500</v>
      </c>
      <c r="K440" s="11">
        <f t="shared" si="33"/>
        <v>7.8341514491381426E-3</v>
      </c>
    </row>
    <row r="441" spans="1:11" x14ac:dyDescent="0.3">
      <c r="A441" s="8" t="s">
        <v>555</v>
      </c>
      <c r="B441" s="8" t="s">
        <v>595</v>
      </c>
      <c r="C441" s="12" t="s">
        <v>7</v>
      </c>
      <c r="D441" s="10">
        <v>0.25</v>
      </c>
      <c r="E441" s="14">
        <v>1820000</v>
      </c>
      <c r="F441" s="14">
        <f t="shared" si="30"/>
        <v>546000</v>
      </c>
      <c r="G441" s="14">
        <v>3000</v>
      </c>
      <c r="H441" s="14">
        <f t="shared" si="31"/>
        <v>900</v>
      </c>
      <c r="I441" s="14">
        <f t="shared" si="34"/>
        <v>455000</v>
      </c>
      <c r="J441" s="14">
        <f t="shared" si="32"/>
        <v>136500</v>
      </c>
      <c r="K441" s="11">
        <f t="shared" si="33"/>
        <v>3.5118609944412367E-3</v>
      </c>
    </row>
    <row r="442" spans="1:11" x14ac:dyDescent="0.3">
      <c r="A442" s="8" t="s">
        <v>555</v>
      </c>
      <c r="B442" s="8" t="s">
        <v>596</v>
      </c>
      <c r="C442" s="12" t="s">
        <v>7</v>
      </c>
      <c r="D442" s="10">
        <v>0.25</v>
      </c>
      <c r="E442" s="14">
        <v>1155000</v>
      </c>
      <c r="F442" s="14">
        <f t="shared" si="30"/>
        <v>346500</v>
      </c>
      <c r="G442" s="14">
        <v>3000</v>
      </c>
      <c r="H442" s="14">
        <f t="shared" si="31"/>
        <v>900</v>
      </c>
      <c r="I442" s="14">
        <f t="shared" si="34"/>
        <v>288750</v>
      </c>
      <c r="J442" s="14">
        <f t="shared" si="32"/>
        <v>86625</v>
      </c>
      <c r="K442" s="11">
        <f t="shared" si="33"/>
        <v>2.2286810157030926E-3</v>
      </c>
    </row>
    <row r="443" spans="1:11" x14ac:dyDescent="0.3">
      <c r="A443" s="8" t="s">
        <v>555</v>
      </c>
      <c r="B443" s="8" t="s">
        <v>597</v>
      </c>
      <c r="C443" s="12" t="s">
        <v>7</v>
      </c>
      <c r="D443" s="10">
        <v>0.25</v>
      </c>
      <c r="E443" s="14">
        <v>770000</v>
      </c>
      <c r="F443" s="14">
        <f t="shared" si="30"/>
        <v>231000</v>
      </c>
      <c r="G443" s="14">
        <v>1500</v>
      </c>
      <c r="H443" s="14">
        <f t="shared" si="31"/>
        <v>450</v>
      </c>
      <c r="I443" s="14">
        <f t="shared" si="34"/>
        <v>192500</v>
      </c>
      <c r="J443" s="14">
        <f t="shared" si="32"/>
        <v>57750</v>
      </c>
      <c r="K443" s="11">
        <f t="shared" si="33"/>
        <v>1.4857873438020616E-3</v>
      </c>
    </row>
    <row r="444" spans="1:11" x14ac:dyDescent="0.3">
      <c r="A444" s="8" t="s">
        <v>606</v>
      </c>
      <c r="B444" s="8" t="s">
        <v>606</v>
      </c>
      <c r="C444" s="12" t="s">
        <v>7</v>
      </c>
      <c r="D444" s="10">
        <v>0.25</v>
      </c>
      <c r="E444" s="14">
        <v>2000000</v>
      </c>
      <c r="F444" s="14">
        <f t="shared" si="30"/>
        <v>600000</v>
      </c>
      <c r="G444" s="14">
        <v>2500</v>
      </c>
      <c r="H444" s="14">
        <f t="shared" si="31"/>
        <v>750</v>
      </c>
      <c r="I444" s="14">
        <f t="shared" si="34"/>
        <v>500000</v>
      </c>
      <c r="J444" s="14">
        <f t="shared" si="32"/>
        <v>150000</v>
      </c>
      <c r="K444" s="11">
        <f t="shared" si="33"/>
        <v>3.859187905979381E-3</v>
      </c>
    </row>
    <row r="445" spans="1:11" x14ac:dyDescent="0.3">
      <c r="A445" s="8" t="s">
        <v>101</v>
      </c>
      <c r="B445" s="8" t="s">
        <v>101</v>
      </c>
      <c r="C445" s="15" t="s">
        <v>8</v>
      </c>
      <c r="D445" s="10">
        <v>0.15</v>
      </c>
      <c r="E445" s="14">
        <v>1993948559.0799999</v>
      </c>
      <c r="F445" s="14">
        <f t="shared" si="30"/>
        <v>598184567.72399998</v>
      </c>
      <c r="G445" s="14">
        <v>1256908.26</v>
      </c>
      <c r="H445" s="14">
        <f t="shared" si="31"/>
        <v>377072.478</v>
      </c>
      <c r="I445" s="14">
        <f t="shared" si="34"/>
        <v>299092283.86199999</v>
      </c>
      <c r="J445" s="14">
        <f t="shared" si="32"/>
        <v>89727685.158599988</v>
      </c>
      <c r="K445" s="11">
        <f t="shared" si="33"/>
        <v>2.3085066493039643</v>
      </c>
    </row>
    <row r="446" spans="1:11" x14ac:dyDescent="0.3">
      <c r="A446" s="8" t="s">
        <v>101</v>
      </c>
      <c r="B446" s="8" t="s">
        <v>102</v>
      </c>
      <c r="C446" s="15" t="s">
        <v>8</v>
      </c>
      <c r="D446" s="10">
        <v>0.15</v>
      </c>
      <c r="E446" s="14">
        <v>726094890</v>
      </c>
      <c r="F446" s="14">
        <f t="shared" si="30"/>
        <v>217828467</v>
      </c>
      <c r="G446" s="14">
        <v>558588.02</v>
      </c>
      <c r="H446" s="14">
        <f t="shared" si="31"/>
        <v>167576.40599999999</v>
      </c>
      <c r="I446" s="14">
        <f t="shared" si="34"/>
        <v>108914233.5</v>
      </c>
      <c r="J446" s="14">
        <f t="shared" si="32"/>
        <v>32674270.049999997</v>
      </c>
      <c r="K446" s="11">
        <f t="shared" si="33"/>
        <v>0.84064098542442856</v>
      </c>
    </row>
    <row r="447" spans="1:11" x14ac:dyDescent="0.3">
      <c r="A447" s="8" t="s">
        <v>101</v>
      </c>
      <c r="B447" s="8" t="s">
        <v>103</v>
      </c>
      <c r="C447" s="15" t="s">
        <v>8</v>
      </c>
      <c r="D447" s="10">
        <v>0.15</v>
      </c>
      <c r="E447" s="14">
        <v>498219000</v>
      </c>
      <c r="F447" s="14">
        <f t="shared" si="30"/>
        <v>149465700</v>
      </c>
      <c r="G447" s="14">
        <v>105313.2</v>
      </c>
      <c r="H447" s="14">
        <f t="shared" si="31"/>
        <v>31593.96</v>
      </c>
      <c r="I447" s="14">
        <f t="shared" si="34"/>
        <v>74732850</v>
      </c>
      <c r="J447" s="14">
        <f t="shared" si="32"/>
        <v>22419855</v>
      </c>
      <c r="K447" s="11">
        <f t="shared" si="33"/>
        <v>0.57681622179874237</v>
      </c>
    </row>
    <row r="448" spans="1:11" x14ac:dyDescent="0.3">
      <c r="A448" s="8" t="s">
        <v>101</v>
      </c>
      <c r="B448" s="8" t="s">
        <v>104</v>
      </c>
      <c r="C448" s="15" t="s">
        <v>8</v>
      </c>
      <c r="D448" s="10">
        <v>0.15</v>
      </c>
      <c r="E448" s="14">
        <v>297375540</v>
      </c>
      <c r="F448" s="14">
        <f t="shared" si="30"/>
        <v>89212662</v>
      </c>
      <c r="G448" s="14">
        <v>156311.41</v>
      </c>
      <c r="H448" s="14">
        <f t="shared" si="31"/>
        <v>46893.423000000003</v>
      </c>
      <c r="I448" s="14">
        <f t="shared" si="34"/>
        <v>44606331</v>
      </c>
      <c r="J448" s="14">
        <f t="shared" si="32"/>
        <v>13381899.299999999</v>
      </c>
      <c r="K448" s="11">
        <f t="shared" si="33"/>
        <v>0.34428842625062628</v>
      </c>
    </row>
    <row r="449" spans="1:11" x14ac:dyDescent="0.3">
      <c r="A449" s="8" t="s">
        <v>101</v>
      </c>
      <c r="B449" s="8" t="s">
        <v>105</v>
      </c>
      <c r="C449" s="15" t="s">
        <v>8</v>
      </c>
      <c r="D449" s="10">
        <v>0.15</v>
      </c>
      <c r="E449" s="14">
        <v>114201030</v>
      </c>
      <c r="F449" s="14">
        <f t="shared" si="30"/>
        <v>34260309</v>
      </c>
      <c r="G449" s="14">
        <v>83379.69</v>
      </c>
      <c r="H449" s="14">
        <f t="shared" si="31"/>
        <v>25013.906999999999</v>
      </c>
      <c r="I449" s="14">
        <f t="shared" si="34"/>
        <v>17130154.5</v>
      </c>
      <c r="J449" s="14">
        <f t="shared" si="32"/>
        <v>5139046.3499999996</v>
      </c>
      <c r="K449" s="11">
        <f t="shared" si="33"/>
        <v>0.13221697014791653</v>
      </c>
    </row>
    <row r="450" spans="1:11" x14ac:dyDescent="0.3">
      <c r="A450" s="8" t="s">
        <v>101</v>
      </c>
      <c r="B450" s="8" t="s">
        <v>106</v>
      </c>
      <c r="C450" s="15" t="s">
        <v>8</v>
      </c>
      <c r="D450" s="10">
        <v>0.15</v>
      </c>
      <c r="E450" s="14">
        <v>69025220</v>
      </c>
      <c r="F450" s="14">
        <f t="shared" si="30"/>
        <v>20707566</v>
      </c>
      <c r="G450" s="14">
        <v>55550.53</v>
      </c>
      <c r="H450" s="14">
        <f t="shared" si="31"/>
        <v>16665.159</v>
      </c>
      <c r="I450" s="14">
        <f t="shared" si="34"/>
        <v>10353783</v>
      </c>
      <c r="J450" s="14">
        <f t="shared" si="32"/>
        <v>3106134.9</v>
      </c>
      <c r="K450" s="11">
        <f t="shared" si="33"/>
        <v>7.9914388269469824E-2</v>
      </c>
    </row>
    <row r="451" spans="1:11" x14ac:dyDescent="0.3">
      <c r="A451" s="8" t="s">
        <v>101</v>
      </c>
      <c r="B451" s="8" t="s">
        <v>107</v>
      </c>
      <c r="C451" s="15" t="s">
        <v>8</v>
      </c>
      <c r="D451" s="10">
        <v>0.15</v>
      </c>
      <c r="E451" s="14">
        <v>51030340</v>
      </c>
      <c r="F451" s="14">
        <f t="shared" si="30"/>
        <v>15309102</v>
      </c>
      <c r="G451" s="14">
        <v>36008.36</v>
      </c>
      <c r="H451" s="14">
        <f t="shared" si="31"/>
        <v>10802.508</v>
      </c>
      <c r="I451" s="14">
        <f t="shared" si="34"/>
        <v>7654551</v>
      </c>
      <c r="J451" s="14">
        <f t="shared" si="32"/>
        <v>2296365.2999999998</v>
      </c>
      <c r="K451" s="11">
        <f t="shared" si="33"/>
        <v>5.9080701289804749E-2</v>
      </c>
    </row>
    <row r="452" spans="1:11" x14ac:dyDescent="0.3">
      <c r="A452" s="8" t="s">
        <v>101</v>
      </c>
      <c r="B452" s="8" t="s">
        <v>108</v>
      </c>
      <c r="C452" s="15" t="s">
        <v>8</v>
      </c>
      <c r="D452" s="10">
        <v>0.15</v>
      </c>
      <c r="E452" s="14">
        <v>48338822.039999999</v>
      </c>
      <c r="F452" s="14">
        <f t="shared" ref="F452:F515" si="35">E452*0.3</f>
        <v>14501646.612</v>
      </c>
      <c r="G452" s="14">
        <v>26290.44</v>
      </c>
      <c r="H452" s="14">
        <f t="shared" ref="H452:H515" si="36">G452*0.3</f>
        <v>7887.1319999999996</v>
      </c>
      <c r="I452" s="14">
        <f t="shared" si="34"/>
        <v>7250823.3059999999</v>
      </c>
      <c r="J452" s="14">
        <f t="shared" ref="J452:J515" si="37">I452*0.3</f>
        <v>2175246.9918</v>
      </c>
      <c r="K452" s="11">
        <f t="shared" ref="K452:K515" si="38">J452/$H$587</f>
        <v>5.5964579221817259E-2</v>
      </c>
    </row>
    <row r="453" spans="1:11" x14ac:dyDescent="0.3">
      <c r="A453" s="8" t="s">
        <v>101</v>
      </c>
      <c r="B453" s="8" t="s">
        <v>109</v>
      </c>
      <c r="C453" s="15" t="s">
        <v>8</v>
      </c>
      <c r="D453" s="10">
        <v>0.15</v>
      </c>
      <c r="E453" s="14">
        <v>35898000</v>
      </c>
      <c r="F453" s="14">
        <f t="shared" si="35"/>
        <v>10769400</v>
      </c>
      <c r="G453" s="14">
        <v>42622.8</v>
      </c>
      <c r="H453" s="14">
        <f t="shared" si="36"/>
        <v>12786.84</v>
      </c>
      <c r="I453" s="14">
        <f t="shared" si="34"/>
        <v>5384700</v>
      </c>
      <c r="J453" s="14">
        <f t="shared" si="37"/>
        <v>1615410</v>
      </c>
      <c r="K453" s="11">
        <f t="shared" si="38"/>
        <v>4.1561138234654342E-2</v>
      </c>
    </row>
    <row r="454" spans="1:11" x14ac:dyDescent="0.3">
      <c r="A454" s="8" t="s">
        <v>101</v>
      </c>
      <c r="B454" s="8" t="s">
        <v>110</v>
      </c>
      <c r="C454" s="15" t="s">
        <v>8</v>
      </c>
      <c r="D454" s="10">
        <v>0.15</v>
      </c>
      <c r="E454" s="14">
        <v>31684170</v>
      </c>
      <c r="F454" s="14">
        <f t="shared" si="35"/>
        <v>9505251</v>
      </c>
      <c r="G454" s="14">
        <v>20560.259999999998</v>
      </c>
      <c r="H454" s="14">
        <f t="shared" si="36"/>
        <v>6168.0779999999995</v>
      </c>
      <c r="I454" s="14">
        <f t="shared" ref="I454:I517" si="39">E454*D454</f>
        <v>4752625.5</v>
      </c>
      <c r="J454" s="14">
        <f t="shared" si="37"/>
        <v>1425787.65</v>
      </c>
      <c r="K454" s="11">
        <f t="shared" si="38"/>
        <v>3.6682549702498415E-2</v>
      </c>
    </row>
    <row r="455" spans="1:11" x14ac:dyDescent="0.3">
      <c r="A455" s="8" t="s">
        <v>101</v>
      </c>
      <c r="B455" s="8" t="s">
        <v>111</v>
      </c>
      <c r="C455" s="15" t="s">
        <v>8</v>
      </c>
      <c r="D455" s="10">
        <v>0.15</v>
      </c>
      <c r="E455" s="14">
        <v>30370060</v>
      </c>
      <c r="F455" s="14">
        <f t="shared" si="35"/>
        <v>9111018</v>
      </c>
      <c r="G455" s="14">
        <v>19380</v>
      </c>
      <c r="H455" s="14">
        <f t="shared" si="36"/>
        <v>5814</v>
      </c>
      <c r="I455" s="14">
        <f t="shared" si="39"/>
        <v>4555509</v>
      </c>
      <c r="J455" s="14">
        <f t="shared" si="37"/>
        <v>1366652.7</v>
      </c>
      <c r="K455" s="11">
        <f t="shared" si="38"/>
        <v>3.5161130476760449E-2</v>
      </c>
    </row>
    <row r="456" spans="1:11" x14ac:dyDescent="0.3">
      <c r="A456" s="8" t="s">
        <v>101</v>
      </c>
      <c r="B456" s="8" t="s">
        <v>112</v>
      </c>
      <c r="C456" s="15" t="s">
        <v>8</v>
      </c>
      <c r="D456" s="10">
        <v>0.15</v>
      </c>
      <c r="E456" s="14">
        <v>16492000</v>
      </c>
      <c r="F456" s="14">
        <f t="shared" si="35"/>
        <v>4947600</v>
      </c>
      <c r="G456" s="14">
        <v>10948.8</v>
      </c>
      <c r="H456" s="14">
        <f t="shared" si="36"/>
        <v>3284.64</v>
      </c>
      <c r="I456" s="14">
        <f t="shared" si="39"/>
        <v>2473800</v>
      </c>
      <c r="J456" s="14">
        <f t="shared" si="37"/>
        <v>742140</v>
      </c>
      <c r="K456" s="11">
        <f t="shared" si="38"/>
        <v>1.9093718083623586E-2</v>
      </c>
    </row>
    <row r="457" spans="1:11" x14ac:dyDescent="0.3">
      <c r="A457" s="8" t="s">
        <v>101</v>
      </c>
      <c r="B457" s="8" t="s">
        <v>113</v>
      </c>
      <c r="C457" s="15" t="s">
        <v>8</v>
      </c>
      <c r="D457" s="10">
        <v>0.15</v>
      </c>
      <c r="E457" s="14">
        <v>16474950</v>
      </c>
      <c r="F457" s="14">
        <f t="shared" si="35"/>
        <v>4942485</v>
      </c>
      <c r="G457" s="14">
        <v>22500</v>
      </c>
      <c r="H457" s="14">
        <f t="shared" si="36"/>
        <v>6750</v>
      </c>
      <c r="I457" s="14">
        <f t="shared" si="39"/>
        <v>2471242.5</v>
      </c>
      <c r="J457" s="14">
        <f t="shared" si="37"/>
        <v>741372.75</v>
      </c>
      <c r="K457" s="11">
        <f t="shared" si="38"/>
        <v>1.9073978337484501E-2</v>
      </c>
    </row>
    <row r="458" spans="1:11" x14ac:dyDescent="0.3">
      <c r="A458" s="8" t="s">
        <v>101</v>
      </c>
      <c r="B458" s="8" t="s">
        <v>114</v>
      </c>
      <c r="C458" s="15" t="s">
        <v>8</v>
      </c>
      <c r="D458" s="10">
        <v>0.15</v>
      </c>
      <c r="E458" s="14">
        <v>13790660</v>
      </c>
      <c r="F458" s="14">
        <f t="shared" si="35"/>
        <v>4137198</v>
      </c>
      <c r="G458" s="14">
        <v>12000</v>
      </c>
      <c r="H458" s="14">
        <f t="shared" si="36"/>
        <v>3600</v>
      </c>
      <c r="I458" s="14">
        <f t="shared" si="39"/>
        <v>2068599</v>
      </c>
      <c r="J458" s="14">
        <f t="shared" si="37"/>
        <v>620579.69999999995</v>
      </c>
      <c r="K458" s="11">
        <f t="shared" si="38"/>
        <v>1.5966224486242082E-2</v>
      </c>
    </row>
    <row r="459" spans="1:11" x14ac:dyDescent="0.3">
      <c r="A459" s="8" t="s">
        <v>101</v>
      </c>
      <c r="B459" s="8" t="s">
        <v>115</v>
      </c>
      <c r="C459" s="15" t="s">
        <v>8</v>
      </c>
      <c r="D459" s="10">
        <v>0.15</v>
      </c>
      <c r="E459" s="14">
        <v>12276000</v>
      </c>
      <c r="F459" s="14">
        <f t="shared" si="35"/>
        <v>3682800</v>
      </c>
      <c r="G459" s="14">
        <v>10110.6</v>
      </c>
      <c r="H459" s="14">
        <f t="shared" si="36"/>
        <v>3033.18</v>
      </c>
      <c r="I459" s="14">
        <f t="shared" si="39"/>
        <v>1841400</v>
      </c>
      <c r="J459" s="14">
        <f t="shared" si="37"/>
        <v>552420</v>
      </c>
      <c r="K459" s="11">
        <f t="shared" si="38"/>
        <v>1.4212617220140864E-2</v>
      </c>
    </row>
    <row r="460" spans="1:11" x14ac:dyDescent="0.3">
      <c r="A460" s="8" t="s">
        <v>101</v>
      </c>
      <c r="B460" s="8" t="s">
        <v>116</v>
      </c>
      <c r="C460" s="15" t="s">
        <v>8</v>
      </c>
      <c r="D460" s="10">
        <v>0.15</v>
      </c>
      <c r="E460" s="14">
        <v>12092970</v>
      </c>
      <c r="F460" s="14">
        <f t="shared" si="35"/>
        <v>3627891</v>
      </c>
      <c r="G460" s="14">
        <v>11002.96</v>
      </c>
      <c r="H460" s="14">
        <f t="shared" si="36"/>
        <v>3300.8879999999995</v>
      </c>
      <c r="I460" s="14">
        <f t="shared" si="39"/>
        <v>1813945.5</v>
      </c>
      <c r="J460" s="14">
        <f t="shared" si="37"/>
        <v>544183.65</v>
      </c>
      <c r="K460" s="11">
        <f t="shared" si="38"/>
        <v>1.4000713071411442E-2</v>
      </c>
    </row>
    <row r="461" spans="1:11" x14ac:dyDescent="0.3">
      <c r="A461" s="8" t="s">
        <v>101</v>
      </c>
      <c r="B461" s="8" t="s">
        <v>117</v>
      </c>
      <c r="C461" s="15" t="s">
        <v>8</v>
      </c>
      <c r="D461" s="10">
        <v>0.15</v>
      </c>
      <c r="E461" s="14">
        <v>10850000</v>
      </c>
      <c r="F461" s="14">
        <f t="shared" si="35"/>
        <v>3255000</v>
      </c>
      <c r="G461" s="14">
        <v>6510</v>
      </c>
      <c r="H461" s="14">
        <f t="shared" si="36"/>
        <v>1953</v>
      </c>
      <c r="I461" s="14">
        <f t="shared" si="39"/>
        <v>1627500</v>
      </c>
      <c r="J461" s="14">
        <f t="shared" si="37"/>
        <v>488250</v>
      </c>
      <c r="K461" s="11">
        <f t="shared" si="38"/>
        <v>1.2561656633962885E-2</v>
      </c>
    </row>
    <row r="462" spans="1:11" x14ac:dyDescent="0.3">
      <c r="A462" s="8" t="s">
        <v>101</v>
      </c>
      <c r="B462" s="8" t="s">
        <v>118</v>
      </c>
      <c r="C462" s="15" t="s">
        <v>8</v>
      </c>
      <c r="D462" s="10">
        <v>0.15</v>
      </c>
      <c r="E462" s="14">
        <v>10202720</v>
      </c>
      <c r="F462" s="14">
        <f t="shared" si="35"/>
        <v>3060816</v>
      </c>
      <c r="G462" s="14">
        <v>6121.63</v>
      </c>
      <c r="H462" s="14">
        <f t="shared" si="36"/>
        <v>1836.489</v>
      </c>
      <c r="I462" s="14">
        <f t="shared" si="39"/>
        <v>1530408</v>
      </c>
      <c r="J462" s="14">
        <f t="shared" si="37"/>
        <v>459122.39999999997</v>
      </c>
      <c r="K462" s="11">
        <f t="shared" si="38"/>
        <v>1.1812264089628184E-2</v>
      </c>
    </row>
    <row r="463" spans="1:11" x14ac:dyDescent="0.3">
      <c r="A463" s="8" t="s">
        <v>101</v>
      </c>
      <c r="B463" s="8" t="s">
        <v>119</v>
      </c>
      <c r="C463" s="15" t="s">
        <v>8</v>
      </c>
      <c r="D463" s="10">
        <v>0.15</v>
      </c>
      <c r="E463" s="14">
        <v>9233730</v>
      </c>
      <c r="F463" s="14">
        <f t="shared" si="35"/>
        <v>2770119</v>
      </c>
      <c r="G463" s="14">
        <v>5772</v>
      </c>
      <c r="H463" s="14">
        <f t="shared" si="36"/>
        <v>1731.6</v>
      </c>
      <c r="I463" s="14">
        <f t="shared" si="39"/>
        <v>1385059.5</v>
      </c>
      <c r="J463" s="14">
        <f t="shared" si="37"/>
        <v>415517.85</v>
      </c>
      <c r="K463" s="11">
        <f t="shared" si="38"/>
        <v>1.0690409742923696E-2</v>
      </c>
    </row>
    <row r="464" spans="1:11" x14ac:dyDescent="0.3">
      <c r="A464" s="8" t="s">
        <v>101</v>
      </c>
      <c r="B464" s="8" t="s">
        <v>120</v>
      </c>
      <c r="C464" s="15" t="s">
        <v>8</v>
      </c>
      <c r="D464" s="10">
        <v>0.15</v>
      </c>
      <c r="E464" s="14">
        <v>8773000</v>
      </c>
      <c r="F464" s="14">
        <f t="shared" si="35"/>
        <v>2631900</v>
      </c>
      <c r="G464" s="14">
        <v>12000</v>
      </c>
      <c r="H464" s="14">
        <f t="shared" si="36"/>
        <v>3600</v>
      </c>
      <c r="I464" s="14">
        <f t="shared" si="39"/>
        <v>1315950</v>
      </c>
      <c r="J464" s="14">
        <f t="shared" si="37"/>
        <v>394785</v>
      </c>
      <c r="K464" s="11">
        <f t="shared" si="38"/>
        <v>1.0156996649747133E-2</v>
      </c>
    </row>
    <row r="465" spans="1:11" x14ac:dyDescent="0.3">
      <c r="A465" s="8" t="s">
        <v>101</v>
      </c>
      <c r="B465" s="8" t="s">
        <v>121</v>
      </c>
      <c r="C465" s="15" t="s">
        <v>8</v>
      </c>
      <c r="D465" s="10">
        <v>0.15</v>
      </c>
      <c r="E465" s="14">
        <v>8029000</v>
      </c>
      <c r="F465" s="14">
        <f t="shared" si="35"/>
        <v>2408700</v>
      </c>
      <c r="G465" s="14">
        <v>6000</v>
      </c>
      <c r="H465" s="14">
        <f t="shared" si="36"/>
        <v>1800</v>
      </c>
      <c r="I465" s="14">
        <f t="shared" si="39"/>
        <v>1204350</v>
      </c>
      <c r="J465" s="14">
        <f t="shared" si="37"/>
        <v>361305</v>
      </c>
      <c r="K465" s="11">
        <f t="shared" si="38"/>
        <v>9.2956259091325349E-3</v>
      </c>
    </row>
    <row r="466" spans="1:11" x14ac:dyDescent="0.3">
      <c r="A466" s="8" t="s">
        <v>101</v>
      </c>
      <c r="B466" s="8" t="s">
        <v>122</v>
      </c>
      <c r="C466" s="15" t="s">
        <v>8</v>
      </c>
      <c r="D466" s="10">
        <v>0.15</v>
      </c>
      <c r="E466" s="14">
        <v>5394000</v>
      </c>
      <c r="F466" s="14">
        <f t="shared" si="35"/>
        <v>1618200</v>
      </c>
      <c r="G466" s="14">
        <v>4178.3999999999996</v>
      </c>
      <c r="H466" s="14">
        <f t="shared" si="36"/>
        <v>1253.5199999999998</v>
      </c>
      <c r="I466" s="14">
        <f t="shared" si="39"/>
        <v>809100</v>
      </c>
      <c r="J466" s="14">
        <f t="shared" si="37"/>
        <v>242730</v>
      </c>
      <c r="K466" s="11">
        <f t="shared" si="38"/>
        <v>6.2449378694558345E-3</v>
      </c>
    </row>
    <row r="467" spans="1:11" x14ac:dyDescent="0.3">
      <c r="A467" s="8" t="s">
        <v>101</v>
      </c>
      <c r="B467" s="8" t="s">
        <v>123</v>
      </c>
      <c r="C467" s="15" t="s">
        <v>8</v>
      </c>
      <c r="D467" s="10">
        <v>0.15</v>
      </c>
      <c r="E467" s="14">
        <v>5270000</v>
      </c>
      <c r="F467" s="14">
        <f t="shared" si="35"/>
        <v>1581000</v>
      </c>
      <c r="G467" s="14">
        <v>4500</v>
      </c>
      <c r="H467" s="14">
        <f t="shared" si="36"/>
        <v>1350</v>
      </c>
      <c r="I467" s="14">
        <f t="shared" si="39"/>
        <v>790500</v>
      </c>
      <c r="J467" s="14">
        <f t="shared" si="37"/>
        <v>237150</v>
      </c>
      <c r="K467" s="11">
        <f t="shared" si="38"/>
        <v>6.101376079353401E-3</v>
      </c>
    </row>
    <row r="468" spans="1:11" x14ac:dyDescent="0.3">
      <c r="A468" s="8" t="s">
        <v>101</v>
      </c>
      <c r="B468" s="8" t="s">
        <v>124</v>
      </c>
      <c r="C468" s="15" t="s">
        <v>8</v>
      </c>
      <c r="D468" s="10">
        <v>0.15</v>
      </c>
      <c r="E468" s="14">
        <v>4929310</v>
      </c>
      <c r="F468" s="14">
        <f t="shared" si="35"/>
        <v>1478793</v>
      </c>
      <c r="G468" s="14">
        <v>4860</v>
      </c>
      <c r="H468" s="14">
        <f t="shared" si="36"/>
        <v>1458</v>
      </c>
      <c r="I468" s="14">
        <f t="shared" si="39"/>
        <v>739396.5</v>
      </c>
      <c r="J468" s="14">
        <f t="shared" si="37"/>
        <v>221818.94999999998</v>
      </c>
      <c r="K468" s="11">
        <f t="shared" si="38"/>
        <v>5.7069400610469658E-3</v>
      </c>
    </row>
    <row r="469" spans="1:11" x14ac:dyDescent="0.3">
      <c r="A469" s="8" t="s">
        <v>101</v>
      </c>
      <c r="B469" s="8" t="s">
        <v>125</v>
      </c>
      <c r="C469" s="15" t="s">
        <v>8</v>
      </c>
      <c r="D469" s="10">
        <v>0.15</v>
      </c>
      <c r="E469" s="14">
        <v>3628860</v>
      </c>
      <c r="F469" s="14">
        <f t="shared" si="35"/>
        <v>1088658</v>
      </c>
      <c r="G469" s="14">
        <v>4500</v>
      </c>
      <c r="H469" s="14">
        <f t="shared" si="36"/>
        <v>1350</v>
      </c>
      <c r="I469" s="14">
        <f t="shared" si="39"/>
        <v>544329</v>
      </c>
      <c r="J469" s="14">
        <f t="shared" si="37"/>
        <v>163298.69999999998</v>
      </c>
      <c r="K469" s="11">
        <f t="shared" si="38"/>
        <v>4.2013357873477005E-3</v>
      </c>
    </row>
    <row r="470" spans="1:11" x14ac:dyDescent="0.3">
      <c r="A470" s="8" t="s">
        <v>101</v>
      </c>
      <c r="B470" s="8" t="s">
        <v>126</v>
      </c>
      <c r="C470" s="15" t="s">
        <v>8</v>
      </c>
      <c r="D470" s="10">
        <v>0.15</v>
      </c>
      <c r="E470" s="14">
        <v>1116000</v>
      </c>
      <c r="F470" s="14">
        <f t="shared" si="35"/>
        <v>334800</v>
      </c>
      <c r="G470" s="14">
        <v>1500</v>
      </c>
      <c r="H470" s="14">
        <f t="shared" si="36"/>
        <v>450</v>
      </c>
      <c r="I470" s="14">
        <f t="shared" si="39"/>
        <v>167400</v>
      </c>
      <c r="J470" s="14">
        <f t="shared" si="37"/>
        <v>50220</v>
      </c>
      <c r="K470" s="11">
        <f t="shared" si="38"/>
        <v>1.2920561109218966E-3</v>
      </c>
    </row>
    <row r="471" spans="1:11" x14ac:dyDescent="0.3">
      <c r="A471" s="8" t="s">
        <v>127</v>
      </c>
      <c r="B471" s="8" t="s">
        <v>127</v>
      </c>
      <c r="C471" s="15" t="s">
        <v>8</v>
      </c>
      <c r="D471" s="10">
        <v>0.15</v>
      </c>
      <c r="E471" s="14">
        <v>988501410</v>
      </c>
      <c r="F471" s="14">
        <f t="shared" si="35"/>
        <v>296550423</v>
      </c>
      <c r="G471" s="14">
        <v>499156.41</v>
      </c>
      <c r="H471" s="14">
        <f t="shared" si="36"/>
        <v>149746.92299999998</v>
      </c>
      <c r="I471" s="14">
        <f t="shared" si="39"/>
        <v>148275211.5</v>
      </c>
      <c r="J471" s="14">
        <f t="shared" si="37"/>
        <v>44482563.449999996</v>
      </c>
      <c r="K471" s="11">
        <f t="shared" si="38"/>
        <v>1.1444438059546695</v>
      </c>
    </row>
    <row r="472" spans="1:11" x14ac:dyDescent="0.3">
      <c r="A472" s="8" t="s">
        <v>127</v>
      </c>
      <c r="B472" s="8" t="s">
        <v>128</v>
      </c>
      <c r="C472" s="15" t="s">
        <v>8</v>
      </c>
      <c r="D472" s="10">
        <v>0.15</v>
      </c>
      <c r="E472" s="14">
        <v>10200000</v>
      </c>
      <c r="F472" s="14">
        <f t="shared" si="35"/>
        <v>3060000</v>
      </c>
      <c r="G472" s="14">
        <v>5260</v>
      </c>
      <c r="H472" s="14">
        <f t="shared" si="36"/>
        <v>1578</v>
      </c>
      <c r="I472" s="14">
        <f t="shared" si="39"/>
        <v>1530000</v>
      </c>
      <c r="J472" s="14">
        <f t="shared" si="37"/>
        <v>459000</v>
      </c>
      <c r="K472" s="11">
        <f t="shared" si="38"/>
        <v>1.1809114992296905E-2</v>
      </c>
    </row>
    <row r="473" spans="1:11" x14ac:dyDescent="0.3">
      <c r="A473" s="8" t="s">
        <v>127</v>
      </c>
      <c r="B473" s="8" t="s">
        <v>129</v>
      </c>
      <c r="C473" s="15" t="s">
        <v>8</v>
      </c>
      <c r="D473" s="10">
        <v>0.15</v>
      </c>
      <c r="E473" s="14">
        <v>9300000</v>
      </c>
      <c r="F473" s="14">
        <f t="shared" si="35"/>
        <v>2790000</v>
      </c>
      <c r="G473" s="14">
        <v>5580</v>
      </c>
      <c r="H473" s="14">
        <f t="shared" si="36"/>
        <v>1674</v>
      </c>
      <c r="I473" s="14">
        <f t="shared" si="39"/>
        <v>1395000</v>
      </c>
      <c r="J473" s="14">
        <f t="shared" si="37"/>
        <v>418500</v>
      </c>
      <c r="K473" s="11">
        <f t="shared" si="38"/>
        <v>1.0767134257682472E-2</v>
      </c>
    </row>
    <row r="474" spans="1:11" x14ac:dyDescent="0.3">
      <c r="A474" s="8" t="s">
        <v>127</v>
      </c>
      <c r="B474" s="8" t="s">
        <v>130</v>
      </c>
      <c r="C474" s="15" t="s">
        <v>8</v>
      </c>
      <c r="D474" s="10">
        <v>0.15</v>
      </c>
      <c r="E474" s="14">
        <v>2732000</v>
      </c>
      <c r="F474" s="14">
        <f t="shared" si="35"/>
        <v>819600</v>
      </c>
      <c r="G474" s="14">
        <v>3000</v>
      </c>
      <c r="H474" s="14">
        <f t="shared" si="36"/>
        <v>900</v>
      </c>
      <c r="I474" s="14">
        <f t="shared" si="39"/>
        <v>409800</v>
      </c>
      <c r="J474" s="14">
        <f t="shared" si="37"/>
        <v>122940</v>
      </c>
      <c r="K474" s="11">
        <f t="shared" si="38"/>
        <v>3.1629904077407007E-3</v>
      </c>
    </row>
    <row r="475" spans="1:11" x14ac:dyDescent="0.3">
      <c r="A475" s="8" t="s">
        <v>288</v>
      </c>
      <c r="B475" s="8" t="s">
        <v>289</v>
      </c>
      <c r="C475" s="15" t="s">
        <v>8</v>
      </c>
      <c r="D475" s="10">
        <v>0.15</v>
      </c>
      <c r="E475" s="14">
        <v>88000000</v>
      </c>
      <c r="F475" s="14">
        <f t="shared" si="35"/>
        <v>26400000</v>
      </c>
      <c r="G475" s="14">
        <v>17600</v>
      </c>
      <c r="H475" s="14">
        <f t="shared" si="36"/>
        <v>5280</v>
      </c>
      <c r="I475" s="14">
        <f t="shared" si="39"/>
        <v>13200000</v>
      </c>
      <c r="J475" s="14">
        <f t="shared" si="37"/>
        <v>3960000</v>
      </c>
      <c r="K475" s="11">
        <f t="shared" si="38"/>
        <v>0.10188256071785566</v>
      </c>
    </row>
    <row r="476" spans="1:11" x14ac:dyDescent="0.3">
      <c r="A476" s="8" t="s">
        <v>288</v>
      </c>
      <c r="B476" s="8" t="s">
        <v>288</v>
      </c>
      <c r="C476" s="15" t="s">
        <v>8</v>
      </c>
      <c r="D476" s="10">
        <v>0.15</v>
      </c>
      <c r="E476" s="14">
        <v>36928000</v>
      </c>
      <c r="F476" s="14">
        <f t="shared" si="35"/>
        <v>11078400</v>
      </c>
      <c r="G476" s="14">
        <v>23048.799999999999</v>
      </c>
      <c r="H476" s="14">
        <f t="shared" si="36"/>
        <v>6914.6399999999994</v>
      </c>
      <c r="I476" s="14">
        <f t="shared" si="39"/>
        <v>5539200</v>
      </c>
      <c r="J476" s="14">
        <f t="shared" si="37"/>
        <v>1661760</v>
      </c>
      <c r="K476" s="11">
        <f t="shared" si="38"/>
        <v>4.2753627297601973E-2</v>
      </c>
    </row>
    <row r="477" spans="1:11" x14ac:dyDescent="0.3">
      <c r="A477" s="8" t="s">
        <v>290</v>
      </c>
      <c r="B477" s="8" t="s">
        <v>290</v>
      </c>
      <c r="C477" s="15" t="s">
        <v>8</v>
      </c>
      <c r="D477" s="10">
        <v>0.15</v>
      </c>
      <c r="E477" s="14">
        <v>1000000</v>
      </c>
      <c r="F477" s="14">
        <f t="shared" si="35"/>
        <v>300000</v>
      </c>
      <c r="G477" s="14">
        <v>2500</v>
      </c>
      <c r="H477" s="14">
        <f t="shared" si="36"/>
        <v>750</v>
      </c>
      <c r="I477" s="14">
        <f t="shared" si="39"/>
        <v>150000</v>
      </c>
      <c r="J477" s="14">
        <f t="shared" si="37"/>
        <v>45000</v>
      </c>
      <c r="K477" s="11">
        <f t="shared" si="38"/>
        <v>1.1577563717938143E-3</v>
      </c>
    </row>
    <row r="478" spans="1:11" x14ac:dyDescent="0.3">
      <c r="A478" s="8" t="s">
        <v>321</v>
      </c>
      <c r="B478" s="8" t="s">
        <v>321</v>
      </c>
      <c r="C478" s="15" t="s">
        <v>8</v>
      </c>
      <c r="D478" s="10">
        <v>0.15</v>
      </c>
      <c r="E478" s="14">
        <v>344474190</v>
      </c>
      <c r="F478" s="14">
        <f t="shared" si="35"/>
        <v>103342257</v>
      </c>
      <c r="G478" s="14">
        <v>243989.09</v>
      </c>
      <c r="H478" s="14">
        <f t="shared" si="36"/>
        <v>73196.726999999999</v>
      </c>
      <c r="I478" s="14">
        <f t="shared" si="39"/>
        <v>51671128.5</v>
      </c>
      <c r="J478" s="14">
        <f t="shared" si="37"/>
        <v>15501338.549999999</v>
      </c>
      <c r="K478" s="11">
        <f t="shared" si="38"/>
        <v>0.39881718839101299</v>
      </c>
    </row>
    <row r="479" spans="1:11" x14ac:dyDescent="0.3">
      <c r="A479" s="8" t="s">
        <v>321</v>
      </c>
      <c r="B479" s="8" t="s">
        <v>322</v>
      </c>
      <c r="C479" s="15" t="s">
        <v>8</v>
      </c>
      <c r="D479" s="10">
        <v>0.15</v>
      </c>
      <c r="E479" s="14">
        <v>100440000</v>
      </c>
      <c r="F479" s="14">
        <f t="shared" si="35"/>
        <v>30132000</v>
      </c>
      <c r="G479" s="14">
        <v>1500</v>
      </c>
      <c r="H479" s="14">
        <f t="shared" si="36"/>
        <v>450</v>
      </c>
      <c r="I479" s="14">
        <f t="shared" si="39"/>
        <v>15066000</v>
      </c>
      <c r="J479" s="14">
        <f t="shared" si="37"/>
        <v>4519800</v>
      </c>
      <c r="K479" s="11">
        <f t="shared" si="38"/>
        <v>0.11628504998297071</v>
      </c>
    </row>
    <row r="480" spans="1:11" x14ac:dyDescent="0.3">
      <c r="A480" s="8" t="s">
        <v>321</v>
      </c>
      <c r="B480" s="8" t="s">
        <v>323</v>
      </c>
      <c r="C480" s="15" t="s">
        <v>8</v>
      </c>
      <c r="D480" s="10">
        <v>0.15</v>
      </c>
      <c r="E480" s="14">
        <v>14462120</v>
      </c>
      <c r="F480" s="14">
        <f t="shared" si="35"/>
        <v>4338636</v>
      </c>
      <c r="G480" s="14">
        <v>11245.2</v>
      </c>
      <c r="H480" s="14">
        <f t="shared" si="36"/>
        <v>3373.56</v>
      </c>
      <c r="I480" s="14">
        <f t="shared" si="39"/>
        <v>2169318</v>
      </c>
      <c r="J480" s="14">
        <f t="shared" si="37"/>
        <v>650795.4</v>
      </c>
      <c r="K480" s="11">
        <f t="shared" si="38"/>
        <v>1.6743611579646756E-2</v>
      </c>
    </row>
    <row r="481" spans="1:11" x14ac:dyDescent="0.3">
      <c r="A481" s="8" t="s">
        <v>321</v>
      </c>
      <c r="B481" s="8" t="s">
        <v>324</v>
      </c>
      <c r="C481" s="15" t="s">
        <v>8</v>
      </c>
      <c r="D481" s="10">
        <v>0.15</v>
      </c>
      <c r="E481" s="14">
        <v>11887260</v>
      </c>
      <c r="F481" s="14">
        <f t="shared" si="35"/>
        <v>3566178</v>
      </c>
      <c r="G481" s="14">
        <v>10590.76</v>
      </c>
      <c r="H481" s="14">
        <f t="shared" si="36"/>
        <v>3177.2280000000001</v>
      </c>
      <c r="I481" s="14">
        <f t="shared" si="39"/>
        <v>1783089</v>
      </c>
      <c r="J481" s="14">
        <f t="shared" si="37"/>
        <v>534926.69999999995</v>
      </c>
      <c r="K481" s="11">
        <f t="shared" si="38"/>
        <v>1.3762551008169735E-2</v>
      </c>
    </row>
    <row r="482" spans="1:11" x14ac:dyDescent="0.3">
      <c r="A482" s="8" t="s">
        <v>321</v>
      </c>
      <c r="B482" s="8" t="s">
        <v>325</v>
      </c>
      <c r="C482" s="15" t="s">
        <v>8</v>
      </c>
      <c r="D482" s="10">
        <v>0.15</v>
      </c>
      <c r="E482" s="14">
        <v>9407570</v>
      </c>
      <c r="F482" s="14">
        <f t="shared" si="35"/>
        <v>2822271</v>
      </c>
      <c r="G482" s="14">
        <v>7092</v>
      </c>
      <c r="H482" s="14">
        <f t="shared" si="36"/>
        <v>2127.6</v>
      </c>
      <c r="I482" s="14">
        <f t="shared" si="39"/>
        <v>1411135.5</v>
      </c>
      <c r="J482" s="14">
        <f t="shared" si="37"/>
        <v>423340.64999999997</v>
      </c>
      <c r="K482" s="11">
        <f t="shared" si="38"/>
        <v>1.0891674110596333E-2</v>
      </c>
    </row>
    <row r="483" spans="1:11" x14ac:dyDescent="0.3">
      <c r="A483" s="8" t="s">
        <v>321</v>
      </c>
      <c r="B483" s="8" t="s">
        <v>326</v>
      </c>
      <c r="C483" s="15" t="s">
        <v>8</v>
      </c>
      <c r="D483" s="10">
        <v>0.15</v>
      </c>
      <c r="E483" s="14">
        <v>6686700</v>
      </c>
      <c r="F483" s="14">
        <f t="shared" si="35"/>
        <v>2006010</v>
      </c>
      <c r="G483" s="14">
        <v>4595.51</v>
      </c>
      <c r="H483" s="14">
        <f t="shared" si="36"/>
        <v>1378.653</v>
      </c>
      <c r="I483" s="14">
        <f t="shared" si="39"/>
        <v>1003005</v>
      </c>
      <c r="J483" s="14">
        <f t="shared" si="37"/>
        <v>300901.5</v>
      </c>
      <c r="K483" s="11">
        <f t="shared" si="38"/>
        <v>7.741569531273698E-3</v>
      </c>
    </row>
    <row r="484" spans="1:11" x14ac:dyDescent="0.3">
      <c r="A484" s="8" t="s">
        <v>321</v>
      </c>
      <c r="B484" s="8" t="s">
        <v>327</v>
      </c>
      <c r="C484" s="15" t="s">
        <v>8</v>
      </c>
      <c r="D484" s="10">
        <v>0.15</v>
      </c>
      <c r="E484" s="14">
        <v>3658000</v>
      </c>
      <c r="F484" s="14">
        <f t="shared" si="35"/>
        <v>1097400</v>
      </c>
      <c r="G484" s="14">
        <v>3000</v>
      </c>
      <c r="H484" s="14">
        <f t="shared" si="36"/>
        <v>900</v>
      </c>
      <c r="I484" s="14">
        <f t="shared" si="39"/>
        <v>548700</v>
      </c>
      <c r="J484" s="14">
        <f t="shared" si="37"/>
        <v>164610</v>
      </c>
      <c r="K484" s="11">
        <f t="shared" si="38"/>
        <v>4.2350728080217722E-3</v>
      </c>
    </row>
    <row r="485" spans="1:11" x14ac:dyDescent="0.3">
      <c r="A485" s="8" t="s">
        <v>321</v>
      </c>
      <c r="B485" s="8" t="s">
        <v>328</v>
      </c>
      <c r="C485" s="15" t="s">
        <v>8</v>
      </c>
      <c r="D485" s="10">
        <v>0.15</v>
      </c>
      <c r="E485" s="14">
        <v>2635000</v>
      </c>
      <c r="F485" s="14">
        <f t="shared" si="35"/>
        <v>790500</v>
      </c>
      <c r="G485" s="14">
        <v>4500</v>
      </c>
      <c r="H485" s="14">
        <f t="shared" si="36"/>
        <v>1350</v>
      </c>
      <c r="I485" s="14">
        <f t="shared" si="39"/>
        <v>395250</v>
      </c>
      <c r="J485" s="14">
        <f t="shared" si="37"/>
        <v>118575</v>
      </c>
      <c r="K485" s="11">
        <f t="shared" si="38"/>
        <v>3.0506880396767005E-3</v>
      </c>
    </row>
    <row r="486" spans="1:11" x14ac:dyDescent="0.3">
      <c r="A486" s="8" t="s">
        <v>321</v>
      </c>
      <c r="B486" s="8" t="s">
        <v>329</v>
      </c>
      <c r="C486" s="15" t="s">
        <v>8</v>
      </c>
      <c r="D486" s="10">
        <v>0.15</v>
      </c>
      <c r="E486" s="14">
        <v>1636880</v>
      </c>
      <c r="F486" s="14">
        <f t="shared" si="35"/>
        <v>491064</v>
      </c>
      <c r="G486" s="14">
        <v>1500</v>
      </c>
      <c r="H486" s="14">
        <f t="shared" si="36"/>
        <v>450</v>
      </c>
      <c r="I486" s="14">
        <f t="shared" si="39"/>
        <v>245532</v>
      </c>
      <c r="J486" s="14">
        <f t="shared" si="37"/>
        <v>73659.599999999991</v>
      </c>
      <c r="K486" s="11">
        <f t="shared" si="38"/>
        <v>1.8951082498618586E-3</v>
      </c>
    </row>
    <row r="487" spans="1:11" x14ac:dyDescent="0.3">
      <c r="A487" s="8" t="s">
        <v>321</v>
      </c>
      <c r="B487" s="8" t="s">
        <v>330</v>
      </c>
      <c r="C487" s="15" t="s">
        <v>8</v>
      </c>
      <c r="D487" s="10">
        <v>0.15</v>
      </c>
      <c r="E487" s="14">
        <v>1240000</v>
      </c>
      <c r="F487" s="14">
        <f t="shared" si="35"/>
        <v>372000</v>
      </c>
      <c r="G487" s="14">
        <v>1500</v>
      </c>
      <c r="H487" s="14">
        <f t="shared" si="36"/>
        <v>450</v>
      </c>
      <c r="I487" s="14">
        <f t="shared" si="39"/>
        <v>186000</v>
      </c>
      <c r="J487" s="14">
        <f t="shared" si="37"/>
        <v>55800</v>
      </c>
      <c r="K487" s="11">
        <f t="shared" si="38"/>
        <v>1.4356179010243297E-3</v>
      </c>
    </row>
    <row r="488" spans="1:11" x14ac:dyDescent="0.3">
      <c r="A488" s="8" t="s">
        <v>331</v>
      </c>
      <c r="B488" s="8" t="s">
        <v>331</v>
      </c>
      <c r="C488" s="15" t="s">
        <v>8</v>
      </c>
      <c r="D488" s="10">
        <v>0.15</v>
      </c>
      <c r="E488" s="14">
        <v>462780750.69999999</v>
      </c>
      <c r="F488" s="14">
        <f t="shared" si="35"/>
        <v>138834225.20999998</v>
      </c>
      <c r="G488" s="14">
        <v>334949.63</v>
      </c>
      <c r="H488" s="14">
        <f t="shared" si="36"/>
        <v>100484.889</v>
      </c>
      <c r="I488" s="14">
        <f t="shared" si="39"/>
        <v>69417112.604999989</v>
      </c>
      <c r="J488" s="14">
        <f t="shared" si="37"/>
        <v>20825133.781499997</v>
      </c>
      <c r="K488" s="11">
        <f t="shared" si="38"/>
        <v>0.53578736286644957</v>
      </c>
    </row>
    <row r="489" spans="1:11" x14ac:dyDescent="0.3">
      <c r="A489" s="8" t="s">
        <v>331</v>
      </c>
      <c r="B489" s="8" t="s">
        <v>332</v>
      </c>
      <c r="C489" s="15" t="s">
        <v>8</v>
      </c>
      <c r="D489" s="10">
        <v>0.15</v>
      </c>
      <c r="E489" s="14">
        <v>27373000</v>
      </c>
      <c r="F489" s="14">
        <f t="shared" si="35"/>
        <v>8211900</v>
      </c>
      <c r="G489" s="14">
        <v>19500</v>
      </c>
      <c r="H489" s="14">
        <f t="shared" si="36"/>
        <v>5850</v>
      </c>
      <c r="I489" s="14">
        <f t="shared" si="39"/>
        <v>4105950</v>
      </c>
      <c r="J489" s="14">
        <f t="shared" si="37"/>
        <v>1231785</v>
      </c>
      <c r="K489" s="11">
        <f t="shared" si="38"/>
        <v>3.169126516511208E-2</v>
      </c>
    </row>
    <row r="490" spans="1:11" x14ac:dyDescent="0.3">
      <c r="A490" s="8" t="s">
        <v>331</v>
      </c>
      <c r="B490" s="8" t="s">
        <v>333</v>
      </c>
      <c r="C490" s="15" t="s">
        <v>8</v>
      </c>
      <c r="D490" s="10">
        <v>0.15</v>
      </c>
      <c r="E490" s="14">
        <v>19046400</v>
      </c>
      <c r="F490" s="14">
        <f t="shared" si="35"/>
        <v>5713920</v>
      </c>
      <c r="G490" s="14">
        <v>12174</v>
      </c>
      <c r="H490" s="14">
        <f t="shared" si="36"/>
        <v>3652.2</v>
      </c>
      <c r="I490" s="14">
        <f t="shared" si="39"/>
        <v>2856960</v>
      </c>
      <c r="J490" s="14">
        <f t="shared" si="37"/>
        <v>857088</v>
      </c>
      <c r="K490" s="11">
        <f t="shared" si="38"/>
        <v>2.2051090959733705E-2</v>
      </c>
    </row>
    <row r="491" spans="1:11" x14ac:dyDescent="0.3">
      <c r="A491" s="8" t="s">
        <v>331</v>
      </c>
      <c r="B491" s="8" t="s">
        <v>334</v>
      </c>
      <c r="C491" s="15" t="s">
        <v>8</v>
      </c>
      <c r="D491" s="10">
        <v>0.15</v>
      </c>
      <c r="E491" s="14">
        <v>7440000</v>
      </c>
      <c r="F491" s="14">
        <f t="shared" si="35"/>
        <v>2232000</v>
      </c>
      <c r="G491" s="14">
        <v>4500</v>
      </c>
      <c r="H491" s="14">
        <f t="shared" si="36"/>
        <v>1350</v>
      </c>
      <c r="I491" s="14">
        <f t="shared" si="39"/>
        <v>1116000</v>
      </c>
      <c r="J491" s="14">
        <f t="shared" si="37"/>
        <v>334800</v>
      </c>
      <c r="K491" s="11">
        <f t="shared" si="38"/>
        <v>8.6137074061459779E-3</v>
      </c>
    </row>
    <row r="492" spans="1:11" x14ac:dyDescent="0.3">
      <c r="A492" s="8" t="s">
        <v>331</v>
      </c>
      <c r="B492" s="8" t="s">
        <v>335</v>
      </c>
      <c r="C492" s="15" t="s">
        <v>8</v>
      </c>
      <c r="D492" s="10">
        <v>0.15</v>
      </c>
      <c r="E492" s="14">
        <v>7360330</v>
      </c>
      <c r="F492" s="14">
        <f t="shared" si="35"/>
        <v>2208099</v>
      </c>
      <c r="G492" s="14">
        <v>6000</v>
      </c>
      <c r="H492" s="14">
        <f t="shared" si="36"/>
        <v>1800</v>
      </c>
      <c r="I492" s="14">
        <f t="shared" si="39"/>
        <v>1104049.5</v>
      </c>
      <c r="J492" s="14">
        <f t="shared" si="37"/>
        <v>331214.84999999998</v>
      </c>
      <c r="K492" s="11">
        <f t="shared" si="38"/>
        <v>8.5214689560051647E-3</v>
      </c>
    </row>
    <row r="493" spans="1:11" x14ac:dyDescent="0.3">
      <c r="A493" s="8" t="s">
        <v>331</v>
      </c>
      <c r="B493" s="8" t="s">
        <v>336</v>
      </c>
      <c r="C493" s="15" t="s">
        <v>8</v>
      </c>
      <c r="D493" s="10">
        <v>0.15</v>
      </c>
      <c r="E493" s="14">
        <v>6505660</v>
      </c>
      <c r="F493" s="14">
        <f t="shared" si="35"/>
        <v>1951698</v>
      </c>
      <c r="G493" s="14">
        <v>6000</v>
      </c>
      <c r="H493" s="14">
        <f t="shared" si="36"/>
        <v>1800</v>
      </c>
      <c r="I493" s="14">
        <f t="shared" si="39"/>
        <v>975849</v>
      </c>
      <c r="J493" s="14">
        <f t="shared" si="37"/>
        <v>292754.7</v>
      </c>
      <c r="K493" s="11">
        <f t="shared" si="38"/>
        <v>7.5319693177241459E-3</v>
      </c>
    </row>
    <row r="494" spans="1:11" x14ac:dyDescent="0.3">
      <c r="A494" s="8" t="s">
        <v>331</v>
      </c>
      <c r="B494" s="8" t="s">
        <v>337</v>
      </c>
      <c r="C494" s="15" t="s">
        <v>8</v>
      </c>
      <c r="D494" s="10">
        <v>0.15</v>
      </c>
      <c r="E494" s="14">
        <v>6200000</v>
      </c>
      <c r="F494" s="14">
        <f t="shared" si="35"/>
        <v>1860000</v>
      </c>
      <c r="G494" s="14">
        <v>4500</v>
      </c>
      <c r="H494" s="14">
        <f t="shared" si="36"/>
        <v>1350</v>
      </c>
      <c r="I494" s="14">
        <f t="shared" si="39"/>
        <v>930000</v>
      </c>
      <c r="J494" s="14">
        <f t="shared" si="37"/>
        <v>279000</v>
      </c>
      <c r="K494" s="11">
        <f t="shared" si="38"/>
        <v>7.1780895051216488E-3</v>
      </c>
    </row>
    <row r="495" spans="1:11" x14ac:dyDescent="0.3">
      <c r="A495" s="8" t="s">
        <v>331</v>
      </c>
      <c r="B495" s="8" t="s">
        <v>338</v>
      </c>
      <c r="C495" s="15" t="s">
        <v>8</v>
      </c>
      <c r="D495" s="10">
        <v>0.15</v>
      </c>
      <c r="E495" s="14">
        <v>2480000</v>
      </c>
      <c r="F495" s="14">
        <f t="shared" si="35"/>
        <v>744000</v>
      </c>
      <c r="G495" s="14">
        <v>1500</v>
      </c>
      <c r="H495" s="14">
        <f t="shared" si="36"/>
        <v>450</v>
      </c>
      <c r="I495" s="14">
        <f t="shared" si="39"/>
        <v>372000</v>
      </c>
      <c r="J495" s="14">
        <f t="shared" si="37"/>
        <v>111600</v>
      </c>
      <c r="K495" s="11">
        <f t="shared" si="38"/>
        <v>2.8712358020486595E-3</v>
      </c>
    </row>
    <row r="496" spans="1:11" x14ac:dyDescent="0.3">
      <c r="A496" s="8" t="s">
        <v>339</v>
      </c>
      <c r="B496" s="8" t="s">
        <v>340</v>
      </c>
      <c r="C496" s="15" t="s">
        <v>8</v>
      </c>
      <c r="D496" s="10">
        <v>0.15</v>
      </c>
      <c r="E496" s="14">
        <v>753497800</v>
      </c>
      <c r="F496" s="14">
        <f t="shared" si="35"/>
        <v>226049340</v>
      </c>
      <c r="G496" s="14">
        <v>455635.9</v>
      </c>
      <c r="H496" s="14">
        <f t="shared" si="36"/>
        <v>136690.76999999999</v>
      </c>
      <c r="I496" s="14">
        <f t="shared" si="39"/>
        <v>113024670</v>
      </c>
      <c r="J496" s="14">
        <f t="shared" si="37"/>
        <v>33907401</v>
      </c>
      <c r="K496" s="11">
        <f t="shared" si="38"/>
        <v>0.87236687908262112</v>
      </c>
    </row>
    <row r="497" spans="1:11" x14ac:dyDescent="0.3">
      <c r="A497" s="8" t="s">
        <v>339</v>
      </c>
      <c r="B497" s="8" t="s">
        <v>342</v>
      </c>
      <c r="C497" s="15" t="s">
        <v>8</v>
      </c>
      <c r="D497" s="10">
        <v>0.15</v>
      </c>
      <c r="E497" s="14">
        <v>196094400</v>
      </c>
      <c r="F497" s="14">
        <f t="shared" si="35"/>
        <v>58828320</v>
      </c>
      <c r="G497" s="14">
        <v>133757.79999999999</v>
      </c>
      <c r="H497" s="14">
        <f t="shared" si="36"/>
        <v>40127.339999999997</v>
      </c>
      <c r="I497" s="14">
        <f t="shared" si="39"/>
        <v>29414160</v>
      </c>
      <c r="J497" s="14">
        <f t="shared" si="37"/>
        <v>8824248</v>
      </c>
      <c r="K497" s="11">
        <f t="shared" si="38"/>
        <v>0.22702954107308493</v>
      </c>
    </row>
    <row r="498" spans="1:11" x14ac:dyDescent="0.3">
      <c r="A498" s="8" t="s">
        <v>339</v>
      </c>
      <c r="B498" s="8" t="s">
        <v>343</v>
      </c>
      <c r="C498" s="15" t="s">
        <v>8</v>
      </c>
      <c r="D498" s="10">
        <v>0.15</v>
      </c>
      <c r="E498" s="14">
        <v>31300000</v>
      </c>
      <c r="F498" s="14">
        <f t="shared" si="35"/>
        <v>9390000</v>
      </c>
      <c r="G498" s="14">
        <v>15020</v>
      </c>
      <c r="H498" s="14">
        <f t="shared" si="36"/>
        <v>4506</v>
      </c>
      <c r="I498" s="14">
        <f t="shared" si="39"/>
        <v>4695000</v>
      </c>
      <c r="J498" s="14">
        <f t="shared" si="37"/>
        <v>1408500</v>
      </c>
      <c r="K498" s="11">
        <f t="shared" si="38"/>
        <v>3.6237774437146389E-2</v>
      </c>
    </row>
    <row r="499" spans="1:11" x14ac:dyDescent="0.3">
      <c r="A499" s="8" t="s">
        <v>339</v>
      </c>
      <c r="B499" s="8" t="s">
        <v>345</v>
      </c>
      <c r="C499" s="15" t="s">
        <v>8</v>
      </c>
      <c r="D499" s="10">
        <v>0.15</v>
      </c>
      <c r="E499" s="14">
        <v>14255000</v>
      </c>
      <c r="F499" s="14">
        <f t="shared" si="35"/>
        <v>4276500</v>
      </c>
      <c r="G499" s="14">
        <v>24615.75</v>
      </c>
      <c r="H499" s="14">
        <f t="shared" si="36"/>
        <v>7384.7249999999995</v>
      </c>
      <c r="I499" s="14">
        <f t="shared" si="39"/>
        <v>2138250</v>
      </c>
      <c r="J499" s="14">
        <f t="shared" si="37"/>
        <v>641475</v>
      </c>
      <c r="K499" s="11">
        <f t="shared" si="38"/>
        <v>1.6503817079920824E-2</v>
      </c>
    </row>
    <row r="500" spans="1:11" x14ac:dyDescent="0.3">
      <c r="A500" s="8" t="s">
        <v>339</v>
      </c>
      <c r="B500" s="8" t="s">
        <v>347</v>
      </c>
      <c r="C500" s="15" t="s">
        <v>8</v>
      </c>
      <c r="D500" s="10">
        <v>0.15</v>
      </c>
      <c r="E500" s="14">
        <v>5425000</v>
      </c>
      <c r="F500" s="14">
        <f t="shared" si="35"/>
        <v>1627500</v>
      </c>
      <c r="G500" s="14">
        <v>3255</v>
      </c>
      <c r="H500" s="14">
        <f t="shared" si="36"/>
        <v>976.5</v>
      </c>
      <c r="I500" s="14">
        <f t="shared" si="39"/>
        <v>813750</v>
      </c>
      <c r="J500" s="14">
        <f t="shared" si="37"/>
        <v>244125</v>
      </c>
      <c r="K500" s="11">
        <f t="shared" si="38"/>
        <v>6.2808283169814424E-3</v>
      </c>
    </row>
    <row r="501" spans="1:11" x14ac:dyDescent="0.3">
      <c r="A501" s="8" t="s">
        <v>339</v>
      </c>
      <c r="B501" s="8" t="s">
        <v>349</v>
      </c>
      <c r="C501" s="15" t="s">
        <v>8</v>
      </c>
      <c r="D501" s="10">
        <v>0.15</v>
      </c>
      <c r="E501" s="14">
        <v>3000000</v>
      </c>
      <c r="F501" s="14">
        <f t="shared" si="35"/>
        <v>900000</v>
      </c>
      <c r="G501" s="14">
        <v>7500</v>
      </c>
      <c r="H501" s="14">
        <f t="shared" si="36"/>
        <v>2250</v>
      </c>
      <c r="I501" s="14">
        <f t="shared" si="39"/>
        <v>450000</v>
      </c>
      <c r="J501" s="14">
        <f t="shared" si="37"/>
        <v>135000</v>
      </c>
      <c r="K501" s="11">
        <f t="shared" si="38"/>
        <v>3.4732691153814429E-3</v>
      </c>
    </row>
    <row r="502" spans="1:11" x14ac:dyDescent="0.3">
      <c r="A502" s="8" t="s">
        <v>339</v>
      </c>
      <c r="B502" s="8" t="s">
        <v>350</v>
      </c>
      <c r="C502" s="15" t="s">
        <v>8</v>
      </c>
      <c r="D502" s="10">
        <v>0.15</v>
      </c>
      <c r="E502" s="14">
        <v>2968000</v>
      </c>
      <c r="F502" s="14">
        <f t="shared" si="35"/>
        <v>890400</v>
      </c>
      <c r="G502" s="14">
        <v>3000</v>
      </c>
      <c r="H502" s="14">
        <f t="shared" si="36"/>
        <v>900</v>
      </c>
      <c r="I502" s="14">
        <f t="shared" si="39"/>
        <v>445200</v>
      </c>
      <c r="J502" s="14">
        <f t="shared" si="37"/>
        <v>133560</v>
      </c>
      <c r="K502" s="11">
        <f t="shared" si="38"/>
        <v>3.4362209114840408E-3</v>
      </c>
    </row>
    <row r="503" spans="1:11" x14ac:dyDescent="0.3">
      <c r="A503" s="8" t="s">
        <v>339</v>
      </c>
      <c r="B503" s="8" t="s">
        <v>352</v>
      </c>
      <c r="C503" s="15" t="s">
        <v>8</v>
      </c>
      <c r="D503" s="10">
        <v>0.15</v>
      </c>
      <c r="E503" s="14">
        <v>2480000</v>
      </c>
      <c r="F503" s="14">
        <f t="shared" si="35"/>
        <v>744000</v>
      </c>
      <c r="G503" s="14">
        <v>3000</v>
      </c>
      <c r="H503" s="14">
        <f t="shared" si="36"/>
        <v>900</v>
      </c>
      <c r="I503" s="14">
        <f t="shared" si="39"/>
        <v>372000</v>
      </c>
      <c r="J503" s="14">
        <f t="shared" si="37"/>
        <v>111600</v>
      </c>
      <c r="K503" s="11">
        <f t="shared" si="38"/>
        <v>2.8712358020486595E-3</v>
      </c>
    </row>
    <row r="504" spans="1:11" x14ac:dyDescent="0.3">
      <c r="A504" s="8" t="s">
        <v>339</v>
      </c>
      <c r="B504" s="8" t="s">
        <v>353</v>
      </c>
      <c r="C504" s="15" t="s">
        <v>8</v>
      </c>
      <c r="D504" s="10">
        <v>0.15</v>
      </c>
      <c r="E504" s="14">
        <v>2000000</v>
      </c>
      <c r="F504" s="14">
        <f t="shared" si="35"/>
        <v>600000</v>
      </c>
      <c r="G504" s="14">
        <v>2500</v>
      </c>
      <c r="H504" s="14">
        <f t="shared" si="36"/>
        <v>750</v>
      </c>
      <c r="I504" s="14">
        <f t="shared" si="39"/>
        <v>300000</v>
      </c>
      <c r="J504" s="14">
        <f t="shared" si="37"/>
        <v>90000</v>
      </c>
      <c r="K504" s="11">
        <f t="shared" si="38"/>
        <v>2.3155127435876286E-3</v>
      </c>
    </row>
    <row r="505" spans="1:11" x14ac:dyDescent="0.3">
      <c r="A505" s="8" t="s">
        <v>339</v>
      </c>
      <c r="B505" s="8" t="s">
        <v>354</v>
      </c>
      <c r="C505" s="15" t="s">
        <v>8</v>
      </c>
      <c r="D505" s="10">
        <v>0.15</v>
      </c>
      <c r="E505" s="14">
        <v>1960000</v>
      </c>
      <c r="F505" s="14">
        <f t="shared" si="35"/>
        <v>588000</v>
      </c>
      <c r="G505" s="14">
        <v>1500</v>
      </c>
      <c r="H505" s="14">
        <f t="shared" si="36"/>
        <v>450</v>
      </c>
      <c r="I505" s="14">
        <f t="shared" si="39"/>
        <v>294000</v>
      </c>
      <c r="J505" s="14">
        <f t="shared" si="37"/>
        <v>88200</v>
      </c>
      <c r="K505" s="11">
        <f t="shared" si="38"/>
        <v>2.269202488715876E-3</v>
      </c>
    </row>
    <row r="506" spans="1:11" x14ac:dyDescent="0.3">
      <c r="A506" s="8" t="s">
        <v>356</v>
      </c>
      <c r="B506" s="8" t="s">
        <v>356</v>
      </c>
      <c r="C506" s="15" t="s">
        <v>8</v>
      </c>
      <c r="D506" s="10">
        <v>0.15</v>
      </c>
      <c r="E506" s="14">
        <v>3006705197.3699999</v>
      </c>
      <c r="F506" s="14">
        <f t="shared" si="35"/>
        <v>902011559.21099997</v>
      </c>
      <c r="G506" s="14">
        <v>1873745.23</v>
      </c>
      <c r="H506" s="14">
        <f t="shared" si="36"/>
        <v>562123.56900000002</v>
      </c>
      <c r="I506" s="14">
        <f t="shared" si="39"/>
        <v>451005779.60549998</v>
      </c>
      <c r="J506" s="14">
        <f t="shared" si="37"/>
        <v>135301733.88165</v>
      </c>
      <c r="K506" s="11">
        <f t="shared" si="38"/>
        <v>3.4810321003606957</v>
      </c>
    </row>
    <row r="507" spans="1:11" x14ac:dyDescent="0.3">
      <c r="A507" s="8" t="s">
        <v>356</v>
      </c>
      <c r="B507" s="8" t="s">
        <v>357</v>
      </c>
      <c r="C507" s="15" t="s">
        <v>8</v>
      </c>
      <c r="D507" s="10">
        <v>0.15</v>
      </c>
      <c r="E507" s="14">
        <v>100000000</v>
      </c>
      <c r="F507" s="14">
        <f t="shared" si="35"/>
        <v>30000000</v>
      </c>
      <c r="G507" s="14">
        <v>21500</v>
      </c>
      <c r="H507" s="14">
        <f t="shared" si="36"/>
        <v>6450</v>
      </c>
      <c r="I507" s="14">
        <f t="shared" si="39"/>
        <v>15000000</v>
      </c>
      <c r="J507" s="14">
        <f t="shared" si="37"/>
        <v>4500000</v>
      </c>
      <c r="K507" s="11">
        <f t="shared" si="38"/>
        <v>0.11577563717938143</v>
      </c>
    </row>
    <row r="508" spans="1:11" x14ac:dyDescent="0.3">
      <c r="A508" s="8" t="s">
        <v>356</v>
      </c>
      <c r="B508" s="8" t="s">
        <v>358</v>
      </c>
      <c r="C508" s="15" t="s">
        <v>8</v>
      </c>
      <c r="D508" s="10">
        <v>0.15</v>
      </c>
      <c r="E508" s="14">
        <v>72806000</v>
      </c>
      <c r="F508" s="14">
        <f t="shared" si="35"/>
        <v>21841800</v>
      </c>
      <c r="G508" s="14">
        <v>34532.400000000001</v>
      </c>
      <c r="H508" s="14">
        <f t="shared" si="36"/>
        <v>10359.719999999999</v>
      </c>
      <c r="I508" s="14">
        <f t="shared" si="39"/>
        <v>10920900</v>
      </c>
      <c r="J508" s="14">
        <f t="shared" si="37"/>
        <v>3276270</v>
      </c>
      <c r="K508" s="11">
        <f t="shared" si="38"/>
        <v>8.4291610404820444E-2</v>
      </c>
    </row>
    <row r="509" spans="1:11" x14ac:dyDescent="0.3">
      <c r="A509" s="8" t="s">
        <v>356</v>
      </c>
      <c r="B509" s="8" t="s">
        <v>359</v>
      </c>
      <c r="C509" s="15" t="s">
        <v>8</v>
      </c>
      <c r="D509" s="10">
        <v>0.15</v>
      </c>
      <c r="E509" s="14">
        <v>40813850</v>
      </c>
      <c r="F509" s="14">
        <f t="shared" si="35"/>
        <v>12244155</v>
      </c>
      <c r="G509" s="14">
        <v>31862.62</v>
      </c>
      <c r="H509" s="14">
        <f t="shared" si="36"/>
        <v>9558.7860000000001</v>
      </c>
      <c r="I509" s="14">
        <f t="shared" si="39"/>
        <v>6122077.5</v>
      </c>
      <c r="J509" s="14">
        <f t="shared" si="37"/>
        <v>1836623.25</v>
      </c>
      <c r="K509" s="11">
        <f t="shared" si="38"/>
        <v>4.7252494894936964E-2</v>
      </c>
    </row>
    <row r="510" spans="1:11" x14ac:dyDescent="0.3">
      <c r="A510" s="8" t="s">
        <v>356</v>
      </c>
      <c r="B510" s="8" t="s">
        <v>361</v>
      </c>
      <c r="C510" s="15" t="s">
        <v>8</v>
      </c>
      <c r="D510" s="10">
        <v>0.15</v>
      </c>
      <c r="E510" s="14">
        <v>20679170</v>
      </c>
      <c r="F510" s="14">
        <f t="shared" si="35"/>
        <v>6203751</v>
      </c>
      <c r="G510" s="14">
        <v>16452</v>
      </c>
      <c r="H510" s="14">
        <f t="shared" si="36"/>
        <v>4935.5999999999995</v>
      </c>
      <c r="I510" s="14">
        <f t="shared" si="39"/>
        <v>3101875.5</v>
      </c>
      <c r="J510" s="14">
        <f t="shared" si="37"/>
        <v>930562.65</v>
      </c>
      <c r="K510" s="11">
        <f t="shared" si="38"/>
        <v>2.394144083090749E-2</v>
      </c>
    </row>
    <row r="511" spans="1:11" x14ac:dyDescent="0.3">
      <c r="A511" s="8" t="s">
        <v>356</v>
      </c>
      <c r="B511" s="8" t="s">
        <v>362</v>
      </c>
      <c r="C511" s="15" t="s">
        <v>8</v>
      </c>
      <c r="D511" s="10">
        <v>0.15</v>
      </c>
      <c r="E511" s="14">
        <v>16740000</v>
      </c>
      <c r="F511" s="14">
        <f t="shared" si="35"/>
        <v>5022000</v>
      </c>
      <c r="G511" s="14">
        <v>3348</v>
      </c>
      <c r="H511" s="14">
        <f t="shared" si="36"/>
        <v>1004.4</v>
      </c>
      <c r="I511" s="14">
        <f t="shared" si="39"/>
        <v>2511000</v>
      </c>
      <c r="J511" s="14">
        <f t="shared" si="37"/>
        <v>753300</v>
      </c>
      <c r="K511" s="11">
        <f t="shared" si="38"/>
        <v>1.938084166382845E-2</v>
      </c>
    </row>
    <row r="512" spans="1:11" x14ac:dyDescent="0.3">
      <c r="A512" s="8" t="s">
        <v>356</v>
      </c>
      <c r="B512" s="8" t="s">
        <v>363</v>
      </c>
      <c r="C512" s="15" t="s">
        <v>8</v>
      </c>
      <c r="D512" s="10">
        <v>0.15</v>
      </c>
      <c r="E512" s="14">
        <v>16370480</v>
      </c>
      <c r="F512" s="14">
        <f t="shared" si="35"/>
        <v>4911144</v>
      </c>
      <c r="G512" s="14">
        <v>14331.6</v>
      </c>
      <c r="H512" s="14">
        <f t="shared" si="36"/>
        <v>4299.4799999999996</v>
      </c>
      <c r="I512" s="14">
        <f t="shared" si="39"/>
        <v>2455572</v>
      </c>
      <c r="J512" s="14">
        <f t="shared" si="37"/>
        <v>736671.6</v>
      </c>
      <c r="K512" s="11">
        <f t="shared" si="38"/>
        <v>1.8953027529323201E-2</v>
      </c>
    </row>
    <row r="513" spans="1:11" x14ac:dyDescent="0.3">
      <c r="A513" s="8" t="s">
        <v>356</v>
      </c>
      <c r="B513" s="8" t="s">
        <v>364</v>
      </c>
      <c r="C513" s="15" t="s">
        <v>8</v>
      </c>
      <c r="D513" s="10">
        <v>0.15</v>
      </c>
      <c r="E513" s="14">
        <v>10465000</v>
      </c>
      <c r="F513" s="14">
        <f t="shared" si="35"/>
        <v>3139500</v>
      </c>
      <c r="G513" s="14">
        <v>7746.92</v>
      </c>
      <c r="H513" s="14">
        <f t="shared" si="36"/>
        <v>2324.076</v>
      </c>
      <c r="I513" s="14">
        <f t="shared" si="39"/>
        <v>1569750</v>
      </c>
      <c r="J513" s="14">
        <f t="shared" si="37"/>
        <v>470925</v>
      </c>
      <c r="K513" s="11">
        <f t="shared" si="38"/>
        <v>1.2115920430822267E-2</v>
      </c>
    </row>
    <row r="514" spans="1:11" x14ac:dyDescent="0.3">
      <c r="A514" s="8" t="s">
        <v>356</v>
      </c>
      <c r="B514" s="8" t="s">
        <v>365</v>
      </c>
      <c r="C514" s="15" t="s">
        <v>8</v>
      </c>
      <c r="D514" s="10">
        <v>0.15</v>
      </c>
      <c r="E514" s="14">
        <v>8103200</v>
      </c>
      <c r="F514" s="14">
        <f t="shared" si="35"/>
        <v>2430960</v>
      </c>
      <c r="G514" s="14">
        <v>6366.54</v>
      </c>
      <c r="H514" s="14">
        <f t="shared" si="36"/>
        <v>1909.962</v>
      </c>
      <c r="I514" s="14">
        <f t="shared" si="39"/>
        <v>1215480</v>
      </c>
      <c r="J514" s="14">
        <f t="shared" si="37"/>
        <v>364644</v>
      </c>
      <c r="K514" s="11">
        <f t="shared" si="38"/>
        <v>9.3815314319196357E-3</v>
      </c>
    </row>
    <row r="515" spans="1:11" x14ac:dyDescent="0.3">
      <c r="A515" s="8" t="s">
        <v>356</v>
      </c>
      <c r="B515" s="8" t="s">
        <v>366</v>
      </c>
      <c r="C515" s="15" t="s">
        <v>8</v>
      </c>
      <c r="D515" s="10">
        <v>0.15</v>
      </c>
      <c r="E515" s="14">
        <v>6125000</v>
      </c>
      <c r="F515" s="14">
        <f t="shared" si="35"/>
        <v>1837500</v>
      </c>
      <c r="G515" s="14">
        <v>5117.25</v>
      </c>
      <c r="H515" s="14">
        <f t="shared" si="36"/>
        <v>1535.175</v>
      </c>
      <c r="I515" s="14">
        <f t="shared" si="39"/>
        <v>918750</v>
      </c>
      <c r="J515" s="14">
        <f t="shared" si="37"/>
        <v>275625</v>
      </c>
      <c r="K515" s="11">
        <f t="shared" si="38"/>
        <v>7.0912577772371125E-3</v>
      </c>
    </row>
    <row r="516" spans="1:11" x14ac:dyDescent="0.3">
      <c r="A516" s="8" t="s">
        <v>356</v>
      </c>
      <c r="B516" s="8" t="s">
        <v>367</v>
      </c>
      <c r="C516" s="15" t="s">
        <v>8</v>
      </c>
      <c r="D516" s="10">
        <v>0.15</v>
      </c>
      <c r="E516" s="14">
        <v>5800000</v>
      </c>
      <c r="F516" s="14">
        <f t="shared" ref="F516:F579" si="40">E516*0.3</f>
        <v>1740000</v>
      </c>
      <c r="G516" s="14">
        <v>1740</v>
      </c>
      <c r="H516" s="14">
        <f t="shared" ref="H516:H579" si="41">G516*0.3</f>
        <v>522</v>
      </c>
      <c r="I516" s="14">
        <f t="shared" si="39"/>
        <v>870000</v>
      </c>
      <c r="J516" s="14">
        <f t="shared" ref="J516:J579" si="42">I516*0.3</f>
        <v>261000</v>
      </c>
      <c r="K516" s="11">
        <f t="shared" ref="K516:K579" si="43">J516/$H$587</f>
        <v>6.7149869564041226E-3</v>
      </c>
    </row>
    <row r="517" spans="1:11" x14ac:dyDescent="0.3">
      <c r="A517" s="8" t="s">
        <v>356</v>
      </c>
      <c r="B517" s="8" t="s">
        <v>368</v>
      </c>
      <c r="C517" s="15" t="s">
        <v>8</v>
      </c>
      <c r="D517" s="10">
        <v>0.15</v>
      </c>
      <c r="E517" s="14">
        <v>5785500</v>
      </c>
      <c r="F517" s="14">
        <f t="shared" si="40"/>
        <v>1735650</v>
      </c>
      <c r="G517" s="14">
        <v>4912.5</v>
      </c>
      <c r="H517" s="14">
        <f t="shared" si="41"/>
        <v>1473.75</v>
      </c>
      <c r="I517" s="14">
        <f t="shared" si="39"/>
        <v>867825</v>
      </c>
      <c r="J517" s="14">
        <f t="shared" si="42"/>
        <v>260347.5</v>
      </c>
      <c r="K517" s="11">
        <f t="shared" si="43"/>
        <v>6.6981994890131123E-3</v>
      </c>
    </row>
    <row r="518" spans="1:11" x14ac:dyDescent="0.3">
      <c r="A518" s="8" t="s">
        <v>356</v>
      </c>
      <c r="B518" s="8" t="s">
        <v>369</v>
      </c>
      <c r="C518" s="15" t="s">
        <v>8</v>
      </c>
      <c r="D518" s="10">
        <v>0.15</v>
      </c>
      <c r="E518" s="14">
        <v>3481000</v>
      </c>
      <c r="F518" s="14">
        <f t="shared" si="40"/>
        <v>1044300</v>
      </c>
      <c r="G518" s="14">
        <v>3112</v>
      </c>
      <c r="H518" s="14">
        <f t="shared" si="41"/>
        <v>933.59999999999991</v>
      </c>
      <c r="I518" s="14">
        <f t="shared" ref="I518:I581" si="44">E518*D518</f>
        <v>522150</v>
      </c>
      <c r="J518" s="14">
        <f t="shared" si="42"/>
        <v>156645</v>
      </c>
      <c r="K518" s="11">
        <f t="shared" si="43"/>
        <v>4.0301499302142678E-3</v>
      </c>
    </row>
    <row r="519" spans="1:11" x14ac:dyDescent="0.3">
      <c r="A519" s="8" t="s">
        <v>356</v>
      </c>
      <c r="B519" s="8" t="s">
        <v>370</v>
      </c>
      <c r="C519" s="15" t="s">
        <v>8</v>
      </c>
      <c r="D519" s="10">
        <v>0.15</v>
      </c>
      <c r="E519" s="14">
        <v>2460500</v>
      </c>
      <c r="F519" s="14">
        <f t="shared" si="40"/>
        <v>738150</v>
      </c>
      <c r="G519" s="14">
        <v>1599.32</v>
      </c>
      <c r="H519" s="14">
        <f t="shared" si="41"/>
        <v>479.79599999999994</v>
      </c>
      <c r="I519" s="14">
        <f t="shared" si="44"/>
        <v>369075</v>
      </c>
      <c r="J519" s="14">
        <f t="shared" si="42"/>
        <v>110722.5</v>
      </c>
      <c r="K519" s="11">
        <f t="shared" si="43"/>
        <v>2.84865955279868E-3</v>
      </c>
    </row>
    <row r="520" spans="1:11" x14ac:dyDescent="0.3">
      <c r="A520" s="8" t="s">
        <v>356</v>
      </c>
      <c r="B520" s="8" t="s">
        <v>371</v>
      </c>
      <c r="C520" s="15" t="s">
        <v>8</v>
      </c>
      <c r="D520" s="10">
        <v>0.15</v>
      </c>
      <c r="E520" s="14">
        <v>2100000</v>
      </c>
      <c r="F520" s="14">
        <f t="shared" si="40"/>
        <v>630000</v>
      </c>
      <c r="G520" s="14">
        <v>3000</v>
      </c>
      <c r="H520" s="14">
        <f t="shared" si="41"/>
        <v>900</v>
      </c>
      <c r="I520" s="14">
        <f t="shared" si="44"/>
        <v>315000</v>
      </c>
      <c r="J520" s="14">
        <f t="shared" si="42"/>
        <v>94500</v>
      </c>
      <c r="K520" s="11">
        <f t="shared" si="43"/>
        <v>2.4312883807670101E-3</v>
      </c>
    </row>
    <row r="521" spans="1:11" x14ac:dyDescent="0.3">
      <c r="A521" s="8" t="s">
        <v>356</v>
      </c>
      <c r="B521" s="8" t="s">
        <v>372</v>
      </c>
      <c r="C521" s="15" t="s">
        <v>8</v>
      </c>
      <c r="D521" s="10">
        <v>0.15</v>
      </c>
      <c r="E521" s="14">
        <v>1000000</v>
      </c>
      <c r="F521" s="14">
        <f t="shared" si="40"/>
        <v>300000</v>
      </c>
      <c r="G521" s="14">
        <v>2500</v>
      </c>
      <c r="H521" s="14">
        <f t="shared" si="41"/>
        <v>750</v>
      </c>
      <c r="I521" s="14">
        <f t="shared" si="44"/>
        <v>150000</v>
      </c>
      <c r="J521" s="14">
        <f t="shared" si="42"/>
        <v>45000</v>
      </c>
      <c r="K521" s="11">
        <f t="shared" si="43"/>
        <v>1.1577563717938143E-3</v>
      </c>
    </row>
    <row r="522" spans="1:11" x14ac:dyDescent="0.3">
      <c r="A522" s="8" t="s">
        <v>356</v>
      </c>
      <c r="B522" s="8" t="s">
        <v>373</v>
      </c>
      <c r="C522" s="15" t="s">
        <v>8</v>
      </c>
      <c r="D522" s="10">
        <v>0.15</v>
      </c>
      <c r="E522" s="14">
        <v>620000</v>
      </c>
      <c r="F522" s="14">
        <f t="shared" si="40"/>
        <v>186000</v>
      </c>
      <c r="G522" s="14">
        <v>1500</v>
      </c>
      <c r="H522" s="14">
        <f t="shared" si="41"/>
        <v>450</v>
      </c>
      <c r="I522" s="14">
        <f t="shared" si="44"/>
        <v>93000</v>
      </c>
      <c r="J522" s="14">
        <f t="shared" si="42"/>
        <v>27900</v>
      </c>
      <c r="K522" s="11">
        <f t="shared" si="43"/>
        <v>7.1780895051216486E-4</v>
      </c>
    </row>
    <row r="523" spans="1:11" x14ac:dyDescent="0.3">
      <c r="A523" s="8" t="s">
        <v>449</v>
      </c>
      <c r="B523" s="8" t="s">
        <v>450</v>
      </c>
      <c r="C523" s="15" t="s">
        <v>8</v>
      </c>
      <c r="D523" s="10">
        <v>0.15</v>
      </c>
      <c r="E523" s="14">
        <v>21500000</v>
      </c>
      <c r="F523" s="14">
        <f t="shared" si="40"/>
        <v>6450000</v>
      </c>
      <c r="G523" s="14">
        <v>17500</v>
      </c>
      <c r="H523" s="14">
        <f t="shared" si="41"/>
        <v>5250</v>
      </c>
      <c r="I523" s="14">
        <f t="shared" si="44"/>
        <v>3225000</v>
      </c>
      <c r="J523" s="14">
        <f t="shared" si="42"/>
        <v>967500</v>
      </c>
      <c r="K523" s="11">
        <f t="shared" si="43"/>
        <v>2.4891761993567008E-2</v>
      </c>
    </row>
    <row r="524" spans="1:11" x14ac:dyDescent="0.3">
      <c r="A524" s="8" t="s">
        <v>449</v>
      </c>
      <c r="B524" s="8" t="s">
        <v>451</v>
      </c>
      <c r="C524" s="15" t="s">
        <v>8</v>
      </c>
      <c r="D524" s="10">
        <v>0.15</v>
      </c>
      <c r="E524" s="14">
        <v>15090000</v>
      </c>
      <c r="F524" s="14">
        <f t="shared" si="40"/>
        <v>4527000</v>
      </c>
      <c r="G524" s="14">
        <v>5500</v>
      </c>
      <c r="H524" s="14">
        <f t="shared" si="41"/>
        <v>1650</v>
      </c>
      <c r="I524" s="14">
        <f t="shared" si="44"/>
        <v>2263500</v>
      </c>
      <c r="J524" s="14">
        <f t="shared" si="42"/>
        <v>679050</v>
      </c>
      <c r="K524" s="11">
        <f t="shared" si="43"/>
        <v>1.7470543650368656E-2</v>
      </c>
    </row>
    <row r="525" spans="1:11" x14ac:dyDescent="0.3">
      <c r="A525" s="8" t="s">
        <v>449</v>
      </c>
      <c r="B525" s="8" t="s">
        <v>452</v>
      </c>
      <c r="C525" s="15" t="s">
        <v>8</v>
      </c>
      <c r="D525" s="10">
        <v>0.15</v>
      </c>
      <c r="E525" s="14">
        <v>9632510</v>
      </c>
      <c r="F525" s="14">
        <f t="shared" si="40"/>
        <v>2889753</v>
      </c>
      <c r="G525" s="14">
        <v>10360</v>
      </c>
      <c r="H525" s="14">
        <f t="shared" si="41"/>
        <v>3108</v>
      </c>
      <c r="I525" s="14">
        <f t="shared" si="44"/>
        <v>1444876.5</v>
      </c>
      <c r="J525" s="14">
        <f t="shared" si="42"/>
        <v>433462.95</v>
      </c>
      <c r="K525" s="11">
        <f t="shared" si="43"/>
        <v>1.1152099828867635E-2</v>
      </c>
    </row>
    <row r="526" spans="1:11" x14ac:dyDescent="0.3">
      <c r="A526" s="8" t="s">
        <v>449</v>
      </c>
      <c r="B526" s="8" t="s">
        <v>453</v>
      </c>
      <c r="C526" s="15" t="s">
        <v>8</v>
      </c>
      <c r="D526" s="10">
        <v>0.15</v>
      </c>
      <c r="E526" s="14">
        <v>8742000</v>
      </c>
      <c r="F526" s="14">
        <f t="shared" si="40"/>
        <v>2622600</v>
      </c>
      <c r="G526" s="14">
        <v>5245.2</v>
      </c>
      <c r="H526" s="14">
        <f t="shared" si="41"/>
        <v>1573.56</v>
      </c>
      <c r="I526" s="14">
        <f t="shared" si="44"/>
        <v>1311300</v>
      </c>
      <c r="J526" s="14">
        <f t="shared" si="42"/>
        <v>393390</v>
      </c>
      <c r="K526" s="11">
        <f t="shared" si="43"/>
        <v>1.0121106202221524E-2</v>
      </c>
    </row>
    <row r="527" spans="1:11" x14ac:dyDescent="0.3">
      <c r="A527" s="8" t="s">
        <v>449</v>
      </c>
      <c r="B527" s="8" t="s">
        <v>454</v>
      </c>
      <c r="C527" s="15" t="s">
        <v>8</v>
      </c>
      <c r="D527" s="10">
        <v>0.15</v>
      </c>
      <c r="E527" s="14">
        <v>8345800</v>
      </c>
      <c r="F527" s="14">
        <f t="shared" si="40"/>
        <v>2503740</v>
      </c>
      <c r="G527" s="14">
        <v>10000</v>
      </c>
      <c r="H527" s="14">
        <f t="shared" si="41"/>
        <v>3000</v>
      </c>
      <c r="I527" s="14">
        <f t="shared" si="44"/>
        <v>1251870</v>
      </c>
      <c r="J527" s="14">
        <f t="shared" si="42"/>
        <v>375561</v>
      </c>
      <c r="K527" s="11">
        <f t="shared" si="43"/>
        <v>9.6624031277168145E-3</v>
      </c>
    </row>
    <row r="528" spans="1:11" x14ac:dyDescent="0.3">
      <c r="A528" s="8" t="s">
        <v>449</v>
      </c>
      <c r="B528" s="8" t="s">
        <v>449</v>
      </c>
      <c r="C528" s="15" t="s">
        <v>8</v>
      </c>
      <c r="D528" s="10">
        <v>0.15</v>
      </c>
      <c r="E528" s="14">
        <v>5495680</v>
      </c>
      <c r="F528" s="14">
        <f t="shared" si="40"/>
        <v>1648704</v>
      </c>
      <c r="G528" s="14">
        <v>3639</v>
      </c>
      <c r="H528" s="14">
        <f t="shared" si="41"/>
        <v>1091.7</v>
      </c>
      <c r="I528" s="14">
        <f t="shared" si="44"/>
        <v>824352</v>
      </c>
      <c r="J528" s="14">
        <f t="shared" si="42"/>
        <v>247305.59999999998</v>
      </c>
      <c r="K528" s="11">
        <f t="shared" si="43"/>
        <v>6.3626585373398282E-3</v>
      </c>
    </row>
    <row r="529" spans="1:11" x14ac:dyDescent="0.3">
      <c r="A529" s="8" t="s">
        <v>449</v>
      </c>
      <c r="B529" s="8" t="s">
        <v>455</v>
      </c>
      <c r="C529" s="15" t="s">
        <v>8</v>
      </c>
      <c r="D529" s="10">
        <v>0.15</v>
      </c>
      <c r="E529" s="14">
        <v>2855100</v>
      </c>
      <c r="F529" s="14">
        <f t="shared" si="40"/>
        <v>856530</v>
      </c>
      <c r="G529" s="14">
        <v>1713.06</v>
      </c>
      <c r="H529" s="14">
        <f t="shared" si="41"/>
        <v>513.91800000000001</v>
      </c>
      <c r="I529" s="14">
        <f t="shared" si="44"/>
        <v>428265</v>
      </c>
      <c r="J529" s="14">
        <f t="shared" si="42"/>
        <v>128479.5</v>
      </c>
      <c r="K529" s="11">
        <f t="shared" si="43"/>
        <v>3.3055102171085193E-3</v>
      </c>
    </row>
    <row r="530" spans="1:11" x14ac:dyDescent="0.3">
      <c r="A530" s="8" t="s">
        <v>449</v>
      </c>
      <c r="B530" s="8" t="s">
        <v>456</v>
      </c>
      <c r="C530" s="15" t="s">
        <v>8</v>
      </c>
      <c r="D530" s="10">
        <v>0.15</v>
      </c>
      <c r="E530" s="14">
        <v>1000000</v>
      </c>
      <c r="F530" s="14">
        <f t="shared" si="40"/>
        <v>300000</v>
      </c>
      <c r="G530" s="14">
        <v>2500</v>
      </c>
      <c r="H530" s="14">
        <f t="shared" si="41"/>
        <v>750</v>
      </c>
      <c r="I530" s="14">
        <f t="shared" si="44"/>
        <v>150000</v>
      </c>
      <c r="J530" s="14">
        <f t="shared" si="42"/>
        <v>45000</v>
      </c>
      <c r="K530" s="11">
        <f t="shared" si="43"/>
        <v>1.1577563717938143E-3</v>
      </c>
    </row>
    <row r="531" spans="1:11" x14ac:dyDescent="0.3">
      <c r="A531" s="8" t="s">
        <v>449</v>
      </c>
      <c r="B531" s="8" t="s">
        <v>457</v>
      </c>
      <c r="C531" s="15" t="s">
        <v>8</v>
      </c>
      <c r="D531" s="10">
        <v>0.15</v>
      </c>
      <c r="E531" s="14">
        <v>992000</v>
      </c>
      <c r="F531" s="14">
        <f t="shared" si="40"/>
        <v>297600</v>
      </c>
      <c r="G531" s="14">
        <v>1500</v>
      </c>
      <c r="H531" s="14">
        <f t="shared" si="41"/>
        <v>450</v>
      </c>
      <c r="I531" s="14">
        <f t="shared" si="44"/>
        <v>148800</v>
      </c>
      <c r="J531" s="14">
        <f t="shared" si="42"/>
        <v>44640</v>
      </c>
      <c r="K531" s="11">
        <f t="shared" si="43"/>
        <v>1.1484943208194638E-3</v>
      </c>
    </row>
    <row r="532" spans="1:11" x14ac:dyDescent="0.3">
      <c r="A532" s="8" t="s">
        <v>461</v>
      </c>
      <c r="B532" s="8" t="s">
        <v>462</v>
      </c>
      <c r="C532" s="15" t="s">
        <v>8</v>
      </c>
      <c r="D532" s="10">
        <v>0.15</v>
      </c>
      <c r="E532" s="14">
        <v>403000</v>
      </c>
      <c r="F532" s="14">
        <f t="shared" si="40"/>
        <v>120900</v>
      </c>
      <c r="G532" s="14">
        <v>1500</v>
      </c>
      <c r="H532" s="14">
        <f t="shared" si="41"/>
        <v>450</v>
      </c>
      <c r="I532" s="14">
        <f t="shared" si="44"/>
        <v>60450</v>
      </c>
      <c r="J532" s="14">
        <f t="shared" si="42"/>
        <v>18135</v>
      </c>
      <c r="K532" s="11">
        <f t="shared" si="43"/>
        <v>4.6657581783290713E-4</v>
      </c>
    </row>
    <row r="533" spans="1:11" x14ac:dyDescent="0.3">
      <c r="A533" s="8" t="s">
        <v>463</v>
      </c>
      <c r="B533" s="8" t="s">
        <v>464</v>
      </c>
      <c r="C533" s="15" t="s">
        <v>8</v>
      </c>
      <c r="D533" s="10">
        <v>0.15</v>
      </c>
      <c r="E533" s="14">
        <v>200915550</v>
      </c>
      <c r="F533" s="14">
        <f t="shared" si="40"/>
        <v>60274665</v>
      </c>
      <c r="G533" s="14">
        <v>184626.05</v>
      </c>
      <c r="H533" s="14">
        <f t="shared" si="41"/>
        <v>55387.814999999995</v>
      </c>
      <c r="I533" s="14">
        <f t="shared" si="44"/>
        <v>30137332.5</v>
      </c>
      <c r="J533" s="14">
        <f t="shared" si="42"/>
        <v>9041199.75</v>
      </c>
      <c r="K533" s="11">
        <f t="shared" si="43"/>
        <v>0.23261125820495868</v>
      </c>
    </row>
    <row r="534" spans="1:11" x14ac:dyDescent="0.3">
      <c r="A534" s="8" t="s">
        <v>463</v>
      </c>
      <c r="B534" s="8" t="s">
        <v>465</v>
      </c>
      <c r="C534" s="15" t="s">
        <v>8</v>
      </c>
      <c r="D534" s="10">
        <v>0.15</v>
      </c>
      <c r="E534" s="14">
        <v>22000000</v>
      </c>
      <c r="F534" s="14">
        <f t="shared" si="40"/>
        <v>6600000</v>
      </c>
      <c r="G534" s="14">
        <v>8800</v>
      </c>
      <c r="H534" s="14">
        <f t="shared" si="41"/>
        <v>2640</v>
      </c>
      <c r="I534" s="14">
        <f t="shared" si="44"/>
        <v>3300000</v>
      </c>
      <c r="J534" s="14">
        <f t="shared" si="42"/>
        <v>990000</v>
      </c>
      <c r="K534" s="11">
        <f t="shared" si="43"/>
        <v>2.5470640179463915E-2</v>
      </c>
    </row>
    <row r="535" spans="1:11" x14ac:dyDescent="0.3">
      <c r="A535" s="8" t="s">
        <v>463</v>
      </c>
      <c r="B535" s="8" t="s">
        <v>466</v>
      </c>
      <c r="C535" s="15" t="s">
        <v>8</v>
      </c>
      <c r="D535" s="10">
        <v>0.15</v>
      </c>
      <c r="E535" s="14">
        <v>7471000</v>
      </c>
      <c r="F535" s="14">
        <f t="shared" si="40"/>
        <v>2241300</v>
      </c>
      <c r="G535" s="14">
        <v>4482.6000000000004</v>
      </c>
      <c r="H535" s="14">
        <f t="shared" si="41"/>
        <v>1344.78</v>
      </c>
      <c r="I535" s="14">
        <f t="shared" si="44"/>
        <v>1120650</v>
      </c>
      <c r="J535" s="14">
        <f t="shared" si="42"/>
        <v>336195</v>
      </c>
      <c r="K535" s="11">
        <f t="shared" si="43"/>
        <v>8.6495978536715867E-3</v>
      </c>
    </row>
    <row r="536" spans="1:11" x14ac:dyDescent="0.3">
      <c r="A536" s="8" t="s">
        <v>463</v>
      </c>
      <c r="B536" s="8" t="s">
        <v>467</v>
      </c>
      <c r="C536" s="15" t="s">
        <v>8</v>
      </c>
      <c r="D536" s="10">
        <v>0.15</v>
      </c>
      <c r="E536" s="14">
        <v>7440000</v>
      </c>
      <c r="F536" s="14">
        <f t="shared" si="40"/>
        <v>2232000</v>
      </c>
      <c r="G536" s="14">
        <v>4464</v>
      </c>
      <c r="H536" s="14">
        <f t="shared" si="41"/>
        <v>1339.2</v>
      </c>
      <c r="I536" s="14">
        <f t="shared" si="44"/>
        <v>1116000</v>
      </c>
      <c r="J536" s="14">
        <f t="shared" si="42"/>
        <v>334800</v>
      </c>
      <c r="K536" s="11">
        <f t="shared" si="43"/>
        <v>8.6137074061459779E-3</v>
      </c>
    </row>
    <row r="537" spans="1:11" x14ac:dyDescent="0.3">
      <c r="A537" s="8" t="s">
        <v>463</v>
      </c>
      <c r="B537" s="8" t="s">
        <v>468</v>
      </c>
      <c r="C537" s="15" t="s">
        <v>8</v>
      </c>
      <c r="D537" s="10">
        <v>0.15</v>
      </c>
      <c r="E537" s="14">
        <v>1943080</v>
      </c>
      <c r="F537" s="14">
        <f t="shared" si="40"/>
        <v>582924</v>
      </c>
      <c r="G537" s="14">
        <v>1500</v>
      </c>
      <c r="H537" s="14">
        <f t="shared" si="41"/>
        <v>450</v>
      </c>
      <c r="I537" s="14">
        <f t="shared" si="44"/>
        <v>291462</v>
      </c>
      <c r="J537" s="14">
        <f t="shared" si="42"/>
        <v>87438.599999999991</v>
      </c>
      <c r="K537" s="11">
        <f t="shared" si="43"/>
        <v>2.2496132509051245E-3</v>
      </c>
    </row>
    <row r="538" spans="1:11" x14ac:dyDescent="0.3">
      <c r="A538" s="8" t="s">
        <v>483</v>
      </c>
      <c r="B538" s="8" t="s">
        <v>484</v>
      </c>
      <c r="C538" s="15" t="s">
        <v>8</v>
      </c>
      <c r="D538" s="10">
        <v>0.15</v>
      </c>
      <c r="E538" s="14">
        <v>6758000</v>
      </c>
      <c r="F538" s="14">
        <f t="shared" si="40"/>
        <v>2027400</v>
      </c>
      <c r="G538" s="14">
        <v>4054.8</v>
      </c>
      <c r="H538" s="14">
        <f t="shared" si="41"/>
        <v>1216.44</v>
      </c>
      <c r="I538" s="14">
        <f t="shared" si="44"/>
        <v>1013700</v>
      </c>
      <c r="J538" s="14">
        <f t="shared" si="42"/>
        <v>304110</v>
      </c>
      <c r="K538" s="11">
        <f t="shared" si="43"/>
        <v>7.8241175605825962E-3</v>
      </c>
    </row>
    <row r="539" spans="1:11" x14ac:dyDescent="0.3">
      <c r="A539" s="8" t="s">
        <v>483</v>
      </c>
      <c r="B539" s="8" t="s">
        <v>485</v>
      </c>
      <c r="C539" s="15" t="s">
        <v>8</v>
      </c>
      <c r="D539" s="10">
        <v>0.15</v>
      </c>
      <c r="E539" s="14">
        <v>2439640</v>
      </c>
      <c r="F539" s="14">
        <f t="shared" si="40"/>
        <v>731892</v>
      </c>
      <c r="G539" s="14">
        <v>1500</v>
      </c>
      <c r="H539" s="14">
        <f t="shared" si="41"/>
        <v>450</v>
      </c>
      <c r="I539" s="14">
        <f t="shared" si="44"/>
        <v>365946</v>
      </c>
      <c r="J539" s="14">
        <f t="shared" si="42"/>
        <v>109783.8</v>
      </c>
      <c r="K539" s="11">
        <f t="shared" si="43"/>
        <v>2.8245087548830613E-3</v>
      </c>
    </row>
    <row r="540" spans="1:11" x14ac:dyDescent="0.3">
      <c r="A540" s="8" t="s">
        <v>483</v>
      </c>
      <c r="B540" s="8" t="s">
        <v>486</v>
      </c>
      <c r="C540" s="15" t="s">
        <v>8</v>
      </c>
      <c r="D540" s="10">
        <v>0.15</v>
      </c>
      <c r="E540" s="14">
        <v>2077880</v>
      </c>
      <c r="F540" s="14">
        <f t="shared" si="40"/>
        <v>623364</v>
      </c>
      <c r="G540" s="14">
        <v>1500</v>
      </c>
      <c r="H540" s="14">
        <f t="shared" si="41"/>
        <v>450</v>
      </c>
      <c r="I540" s="14">
        <f t="shared" si="44"/>
        <v>311682</v>
      </c>
      <c r="J540" s="14">
        <f t="shared" si="42"/>
        <v>93504.599999999991</v>
      </c>
      <c r="K540" s="11">
        <f t="shared" si="43"/>
        <v>2.4056788098229306E-3</v>
      </c>
    </row>
    <row r="541" spans="1:11" x14ac:dyDescent="0.3">
      <c r="A541" s="8" t="s">
        <v>521</v>
      </c>
      <c r="B541" s="8" t="s">
        <v>521</v>
      </c>
      <c r="C541" s="15" t="s">
        <v>8</v>
      </c>
      <c r="D541" s="10">
        <v>0.15</v>
      </c>
      <c r="E541" s="14">
        <v>2731204830.5999999</v>
      </c>
      <c r="F541" s="14">
        <f t="shared" si="40"/>
        <v>819361449.17999995</v>
      </c>
      <c r="G541" s="14">
        <v>936807.29700000002</v>
      </c>
      <c r="H541" s="14">
        <f t="shared" si="41"/>
        <v>281042.18910000002</v>
      </c>
      <c r="I541" s="14">
        <f t="shared" si="44"/>
        <v>409680724.58999997</v>
      </c>
      <c r="J541" s="14">
        <f t="shared" si="42"/>
        <v>122904217.37699999</v>
      </c>
      <c r="K541" s="11">
        <f t="shared" si="43"/>
        <v>3.1620697953011949</v>
      </c>
    </row>
    <row r="542" spans="1:11" x14ac:dyDescent="0.3">
      <c r="A542" s="8" t="s">
        <v>521</v>
      </c>
      <c r="B542" s="8" t="s">
        <v>522</v>
      </c>
      <c r="C542" s="15" t="s">
        <v>8</v>
      </c>
      <c r="D542" s="10">
        <v>0.15</v>
      </c>
      <c r="E542" s="14">
        <v>19786000</v>
      </c>
      <c r="F542" s="14">
        <f t="shared" si="40"/>
        <v>5935800</v>
      </c>
      <c r="G542" s="14">
        <v>8135.8</v>
      </c>
      <c r="H542" s="14">
        <f t="shared" si="41"/>
        <v>2440.7399999999998</v>
      </c>
      <c r="I542" s="14">
        <f t="shared" si="44"/>
        <v>2967900</v>
      </c>
      <c r="J542" s="14">
        <f t="shared" si="42"/>
        <v>890370</v>
      </c>
      <c r="K542" s="11">
        <f t="shared" si="43"/>
        <v>2.2907367572312411E-2</v>
      </c>
    </row>
    <row r="543" spans="1:11" x14ac:dyDescent="0.3">
      <c r="A543" s="8" t="s">
        <v>521</v>
      </c>
      <c r="B543" s="8" t="s">
        <v>523</v>
      </c>
      <c r="C543" s="15" t="s">
        <v>8</v>
      </c>
      <c r="D543" s="10">
        <v>0.15</v>
      </c>
      <c r="E543" s="14">
        <v>18940000</v>
      </c>
      <c r="F543" s="14">
        <f t="shared" si="40"/>
        <v>5682000</v>
      </c>
      <c r="G543" s="14">
        <v>12500</v>
      </c>
      <c r="H543" s="14">
        <f t="shared" si="41"/>
        <v>3750</v>
      </c>
      <c r="I543" s="14">
        <f t="shared" si="44"/>
        <v>2841000</v>
      </c>
      <c r="J543" s="14">
        <f t="shared" si="42"/>
        <v>852300</v>
      </c>
      <c r="K543" s="11">
        <f t="shared" si="43"/>
        <v>2.1927905681774842E-2</v>
      </c>
    </row>
    <row r="544" spans="1:11" x14ac:dyDescent="0.3">
      <c r="A544" s="8" t="s">
        <v>521</v>
      </c>
      <c r="B544" s="8" t="s">
        <v>524</v>
      </c>
      <c r="C544" s="15" t="s">
        <v>8</v>
      </c>
      <c r="D544" s="10">
        <v>0.15</v>
      </c>
      <c r="E544" s="14">
        <v>17391740</v>
      </c>
      <c r="F544" s="14">
        <f t="shared" si="40"/>
        <v>5217522</v>
      </c>
      <c r="G544" s="14">
        <v>10914.95</v>
      </c>
      <c r="H544" s="14">
        <f t="shared" si="41"/>
        <v>3274.4850000000001</v>
      </c>
      <c r="I544" s="14">
        <f t="shared" si="44"/>
        <v>2608761</v>
      </c>
      <c r="J544" s="14">
        <f t="shared" si="42"/>
        <v>782628.29999999993</v>
      </c>
      <c r="K544" s="11">
        <f t="shared" si="43"/>
        <v>2.0135397801581349E-2</v>
      </c>
    </row>
    <row r="545" spans="1:11" x14ac:dyDescent="0.3">
      <c r="A545" s="8" t="s">
        <v>521</v>
      </c>
      <c r="B545" s="8" t="s">
        <v>525</v>
      </c>
      <c r="C545" s="15" t="s">
        <v>8</v>
      </c>
      <c r="D545" s="10">
        <v>0.15</v>
      </c>
      <c r="E545" s="14">
        <v>4712000</v>
      </c>
      <c r="F545" s="14">
        <f t="shared" si="40"/>
        <v>1413600</v>
      </c>
      <c r="G545" s="14">
        <v>3732</v>
      </c>
      <c r="H545" s="14">
        <f t="shared" si="41"/>
        <v>1119.5999999999999</v>
      </c>
      <c r="I545" s="14">
        <f t="shared" si="44"/>
        <v>706800</v>
      </c>
      <c r="J545" s="14">
        <f t="shared" si="42"/>
        <v>212040</v>
      </c>
      <c r="K545" s="11">
        <f t="shared" si="43"/>
        <v>5.4553480238924527E-3</v>
      </c>
    </row>
    <row r="546" spans="1:11" x14ac:dyDescent="0.3">
      <c r="A546" s="8" t="s">
        <v>521</v>
      </c>
      <c r="B546" s="8" t="s">
        <v>526</v>
      </c>
      <c r="C546" s="15" t="s">
        <v>8</v>
      </c>
      <c r="D546" s="10">
        <v>0.15</v>
      </c>
      <c r="E546" s="14">
        <v>4635000</v>
      </c>
      <c r="F546" s="14">
        <f t="shared" si="40"/>
        <v>1390500</v>
      </c>
      <c r="G546" s="14">
        <v>4081</v>
      </c>
      <c r="H546" s="14">
        <f t="shared" si="41"/>
        <v>1224.3</v>
      </c>
      <c r="I546" s="14">
        <f t="shared" si="44"/>
        <v>695250</v>
      </c>
      <c r="J546" s="14">
        <f t="shared" si="42"/>
        <v>208575</v>
      </c>
      <c r="K546" s="11">
        <f t="shared" si="43"/>
        <v>5.3662007832643291E-3</v>
      </c>
    </row>
    <row r="547" spans="1:11" x14ac:dyDescent="0.3">
      <c r="A547" s="8" t="s">
        <v>521</v>
      </c>
      <c r="B547" s="8" t="s">
        <v>527</v>
      </c>
      <c r="C547" s="15" t="s">
        <v>8</v>
      </c>
      <c r="D547" s="10">
        <v>0.15</v>
      </c>
      <c r="E547" s="14">
        <v>4588000</v>
      </c>
      <c r="F547" s="14">
        <f t="shared" si="40"/>
        <v>1376400</v>
      </c>
      <c r="G547" s="14">
        <v>3000</v>
      </c>
      <c r="H547" s="14">
        <f t="shared" si="41"/>
        <v>900</v>
      </c>
      <c r="I547" s="14">
        <f t="shared" si="44"/>
        <v>688200</v>
      </c>
      <c r="J547" s="14">
        <f t="shared" si="42"/>
        <v>206460</v>
      </c>
      <c r="K547" s="11">
        <f t="shared" si="43"/>
        <v>5.3117862337900201E-3</v>
      </c>
    </row>
    <row r="548" spans="1:11" x14ac:dyDescent="0.3">
      <c r="A548" s="8" t="s">
        <v>521</v>
      </c>
      <c r="B548" s="8" t="s">
        <v>528</v>
      </c>
      <c r="C548" s="15" t="s">
        <v>8</v>
      </c>
      <c r="D548" s="10">
        <v>0.15</v>
      </c>
      <c r="E548" s="14">
        <v>3973200</v>
      </c>
      <c r="F548" s="14">
        <f t="shared" si="40"/>
        <v>1191960</v>
      </c>
      <c r="G548" s="14">
        <v>5500</v>
      </c>
      <c r="H548" s="14">
        <f t="shared" si="41"/>
        <v>1650</v>
      </c>
      <c r="I548" s="14">
        <f t="shared" si="44"/>
        <v>595980</v>
      </c>
      <c r="J548" s="14">
        <f t="shared" si="42"/>
        <v>178794</v>
      </c>
      <c r="K548" s="11">
        <f t="shared" si="43"/>
        <v>4.5999976164111831E-3</v>
      </c>
    </row>
    <row r="549" spans="1:11" x14ac:dyDescent="0.3">
      <c r="A549" s="8" t="s">
        <v>521</v>
      </c>
      <c r="B549" s="8" t="s">
        <v>529</v>
      </c>
      <c r="C549" s="15" t="s">
        <v>8</v>
      </c>
      <c r="D549" s="10">
        <v>0.15</v>
      </c>
      <c r="E549" s="14">
        <v>2000000</v>
      </c>
      <c r="F549" s="14">
        <f t="shared" si="40"/>
        <v>600000</v>
      </c>
      <c r="G549" s="14">
        <v>2500</v>
      </c>
      <c r="H549" s="14">
        <f t="shared" si="41"/>
        <v>750</v>
      </c>
      <c r="I549" s="14">
        <f t="shared" si="44"/>
        <v>300000</v>
      </c>
      <c r="J549" s="14">
        <f t="shared" si="42"/>
        <v>90000</v>
      </c>
      <c r="K549" s="11">
        <f t="shared" si="43"/>
        <v>2.3155127435876286E-3</v>
      </c>
    </row>
    <row r="550" spans="1:11" x14ac:dyDescent="0.3">
      <c r="A550" s="8" t="s">
        <v>521</v>
      </c>
      <c r="B550" s="8" t="s">
        <v>530</v>
      </c>
      <c r="C550" s="15" t="s">
        <v>8</v>
      </c>
      <c r="D550" s="10">
        <v>0.15</v>
      </c>
      <c r="E550" s="14">
        <v>2000000</v>
      </c>
      <c r="F550" s="14">
        <f t="shared" si="40"/>
        <v>600000</v>
      </c>
      <c r="G550" s="14">
        <v>2500</v>
      </c>
      <c r="H550" s="14">
        <f t="shared" si="41"/>
        <v>750</v>
      </c>
      <c r="I550" s="14">
        <f t="shared" si="44"/>
        <v>300000</v>
      </c>
      <c r="J550" s="14">
        <f t="shared" si="42"/>
        <v>90000</v>
      </c>
      <c r="K550" s="11">
        <f t="shared" si="43"/>
        <v>2.3155127435876286E-3</v>
      </c>
    </row>
    <row r="551" spans="1:11" x14ac:dyDescent="0.3">
      <c r="A551" s="8" t="s">
        <v>521</v>
      </c>
      <c r="B551" s="8" t="s">
        <v>531</v>
      </c>
      <c r="C551" s="15" t="s">
        <v>8</v>
      </c>
      <c r="D551" s="10">
        <v>0.15</v>
      </c>
      <c r="E551" s="14">
        <v>1500000</v>
      </c>
      <c r="F551" s="14">
        <f t="shared" si="40"/>
        <v>450000</v>
      </c>
      <c r="G551" s="14">
        <v>2500</v>
      </c>
      <c r="H551" s="14">
        <f t="shared" si="41"/>
        <v>750</v>
      </c>
      <c r="I551" s="14">
        <f t="shared" si="44"/>
        <v>225000</v>
      </c>
      <c r="J551" s="14">
        <f t="shared" si="42"/>
        <v>67500</v>
      </c>
      <c r="K551" s="11">
        <f t="shared" si="43"/>
        <v>1.7366345576907214E-3</v>
      </c>
    </row>
    <row r="552" spans="1:11" x14ac:dyDescent="0.3">
      <c r="A552" s="8" t="s">
        <v>598</v>
      </c>
      <c r="B552" s="8" t="s">
        <v>598</v>
      </c>
      <c r="C552" s="15" t="s">
        <v>8</v>
      </c>
      <c r="D552" s="10">
        <v>0.15</v>
      </c>
      <c r="E552" s="14">
        <v>2321655022.1599998</v>
      </c>
      <c r="F552" s="14">
        <f t="shared" si="40"/>
        <v>696496506.64799988</v>
      </c>
      <c r="G552" s="14">
        <v>559237.91999999993</v>
      </c>
      <c r="H552" s="14">
        <f t="shared" si="41"/>
        <v>167771.37599999996</v>
      </c>
      <c r="I552" s="14">
        <f t="shared" si="44"/>
        <v>348248253.32399994</v>
      </c>
      <c r="J552" s="14">
        <f t="shared" si="42"/>
        <v>104474475.99719998</v>
      </c>
      <c r="K552" s="11">
        <f t="shared" si="43"/>
        <v>2.6879108950128487</v>
      </c>
    </row>
    <row r="553" spans="1:11" x14ac:dyDescent="0.3">
      <c r="A553" s="8" t="s">
        <v>598</v>
      </c>
      <c r="B553" s="8" t="s">
        <v>599</v>
      </c>
      <c r="C553" s="15" t="s">
        <v>8</v>
      </c>
      <c r="D553" s="10">
        <v>0.15</v>
      </c>
      <c r="E553" s="14">
        <v>38884170</v>
      </c>
      <c r="F553" s="14">
        <f t="shared" si="40"/>
        <v>11665251</v>
      </c>
      <c r="G553" s="14">
        <v>30805.01</v>
      </c>
      <c r="H553" s="14">
        <f t="shared" si="41"/>
        <v>9241.5029999999988</v>
      </c>
      <c r="I553" s="14">
        <f t="shared" si="44"/>
        <v>5832625.5</v>
      </c>
      <c r="J553" s="14">
        <f t="shared" si="42"/>
        <v>1749787.65</v>
      </c>
      <c r="K553" s="11">
        <f t="shared" si="43"/>
        <v>4.5018395579413874E-2</v>
      </c>
    </row>
    <row r="554" spans="1:11" x14ac:dyDescent="0.3">
      <c r="A554" s="8" t="s">
        <v>598</v>
      </c>
      <c r="B554" s="8" t="s">
        <v>600</v>
      </c>
      <c r="C554" s="15" t="s">
        <v>8</v>
      </c>
      <c r="D554" s="10">
        <v>0.15</v>
      </c>
      <c r="E554" s="14">
        <v>8463000</v>
      </c>
      <c r="F554" s="14">
        <f t="shared" si="40"/>
        <v>2538900</v>
      </c>
      <c r="G554" s="14">
        <v>5077.8</v>
      </c>
      <c r="H554" s="14">
        <f t="shared" si="41"/>
        <v>1523.34</v>
      </c>
      <c r="I554" s="14">
        <f t="shared" si="44"/>
        <v>1269450</v>
      </c>
      <c r="J554" s="14">
        <f t="shared" si="42"/>
        <v>380835</v>
      </c>
      <c r="K554" s="11">
        <f t="shared" si="43"/>
        <v>9.7980921744910496E-3</v>
      </c>
    </row>
    <row r="555" spans="1:11" x14ac:dyDescent="0.3">
      <c r="A555" s="8" t="s">
        <v>598</v>
      </c>
      <c r="B555" s="8" t="s">
        <v>601</v>
      </c>
      <c r="C555" s="15" t="s">
        <v>8</v>
      </c>
      <c r="D555" s="10">
        <v>0.15</v>
      </c>
      <c r="E555" s="14">
        <v>6474720</v>
      </c>
      <c r="F555" s="14">
        <f t="shared" si="40"/>
        <v>1942416</v>
      </c>
      <c r="G555" s="14">
        <v>1500</v>
      </c>
      <c r="H555" s="14">
        <f t="shared" si="41"/>
        <v>450</v>
      </c>
      <c r="I555" s="14">
        <f t="shared" si="44"/>
        <v>971208</v>
      </c>
      <c r="J555" s="14">
        <f t="shared" si="42"/>
        <v>291362.39999999997</v>
      </c>
      <c r="K555" s="11">
        <f t="shared" si="43"/>
        <v>7.4961483355808446E-3</v>
      </c>
    </row>
    <row r="556" spans="1:11" x14ac:dyDescent="0.3">
      <c r="A556" s="8" t="s">
        <v>598</v>
      </c>
      <c r="B556" s="8" t="s">
        <v>602</v>
      </c>
      <c r="C556" s="15" t="s">
        <v>8</v>
      </c>
      <c r="D556" s="10">
        <v>0.15</v>
      </c>
      <c r="E556" s="14">
        <v>3100000</v>
      </c>
      <c r="F556" s="14">
        <f t="shared" si="40"/>
        <v>930000</v>
      </c>
      <c r="G556" s="14">
        <v>2232</v>
      </c>
      <c r="H556" s="14">
        <f t="shared" si="41"/>
        <v>669.6</v>
      </c>
      <c r="I556" s="14">
        <f t="shared" si="44"/>
        <v>465000</v>
      </c>
      <c r="J556" s="14">
        <f t="shared" si="42"/>
        <v>139500</v>
      </c>
      <c r="K556" s="11">
        <f t="shared" si="43"/>
        <v>3.5890447525608244E-3</v>
      </c>
    </row>
    <row r="557" spans="1:11" x14ac:dyDescent="0.3">
      <c r="A557" s="8" t="s">
        <v>598</v>
      </c>
      <c r="B557" s="8" t="s">
        <v>603</v>
      </c>
      <c r="C557" s="15" t="s">
        <v>8</v>
      </c>
      <c r="D557" s="10">
        <v>0.15</v>
      </c>
      <c r="E557" s="14">
        <v>2915860</v>
      </c>
      <c r="F557" s="14">
        <f t="shared" si="40"/>
        <v>874758</v>
      </c>
      <c r="G557" s="14">
        <v>1749.52</v>
      </c>
      <c r="H557" s="14">
        <f t="shared" si="41"/>
        <v>524.85599999999999</v>
      </c>
      <c r="I557" s="14">
        <f t="shared" si="44"/>
        <v>437379</v>
      </c>
      <c r="J557" s="14">
        <f t="shared" si="42"/>
        <v>131213.69999999998</v>
      </c>
      <c r="K557" s="11">
        <f t="shared" si="43"/>
        <v>3.3758554942587109E-3</v>
      </c>
    </row>
    <row r="558" spans="1:11" x14ac:dyDescent="0.3">
      <c r="A558" s="8" t="s">
        <v>598</v>
      </c>
      <c r="B558" s="8" t="s">
        <v>604</v>
      </c>
      <c r="C558" s="15" t="s">
        <v>8</v>
      </c>
      <c r="D558" s="10">
        <v>0.15</v>
      </c>
      <c r="E558" s="14">
        <v>1586270</v>
      </c>
      <c r="F558" s="14">
        <f t="shared" si="40"/>
        <v>475881</v>
      </c>
      <c r="G558" s="14">
        <v>1500</v>
      </c>
      <c r="H558" s="14">
        <f t="shared" si="41"/>
        <v>450</v>
      </c>
      <c r="I558" s="14">
        <f t="shared" si="44"/>
        <v>237940.5</v>
      </c>
      <c r="J558" s="14">
        <f t="shared" si="42"/>
        <v>71382.149999999994</v>
      </c>
      <c r="K558" s="11">
        <f t="shared" si="43"/>
        <v>1.8365141998853737E-3</v>
      </c>
    </row>
    <row r="559" spans="1:11" x14ac:dyDescent="0.3">
      <c r="A559" s="8" t="s">
        <v>598</v>
      </c>
      <c r="B559" s="8" t="s">
        <v>605</v>
      </c>
      <c r="C559" s="15" t="s">
        <v>8</v>
      </c>
      <c r="D559" s="10">
        <v>0.15</v>
      </c>
      <c r="E559" s="14">
        <v>713000</v>
      </c>
      <c r="F559" s="14">
        <f t="shared" si="40"/>
        <v>213900</v>
      </c>
      <c r="G559" s="14">
        <v>1500</v>
      </c>
      <c r="H559" s="14">
        <f t="shared" si="41"/>
        <v>450</v>
      </c>
      <c r="I559" s="14">
        <f t="shared" si="44"/>
        <v>106950</v>
      </c>
      <c r="J559" s="14">
        <f t="shared" si="42"/>
        <v>32085</v>
      </c>
      <c r="K559" s="11">
        <f t="shared" si="43"/>
        <v>8.2548029308898957E-4</v>
      </c>
    </row>
    <row r="560" spans="1:11" x14ac:dyDescent="0.3">
      <c r="A560" s="8" t="s">
        <v>607</v>
      </c>
      <c r="B560" s="8" t="s">
        <v>608</v>
      </c>
      <c r="C560" s="15" t="s">
        <v>8</v>
      </c>
      <c r="D560" s="10">
        <v>0.15</v>
      </c>
      <c r="E560" s="14">
        <v>3476574079.23</v>
      </c>
      <c r="F560" s="14">
        <f t="shared" si="40"/>
        <v>1042972223.7689999</v>
      </c>
      <c r="G560" s="14">
        <v>1537173.34</v>
      </c>
      <c r="H560" s="14">
        <f t="shared" si="41"/>
        <v>461152.00200000004</v>
      </c>
      <c r="I560" s="14">
        <f t="shared" si="44"/>
        <v>521486111.88449997</v>
      </c>
      <c r="J560" s="14">
        <f t="shared" si="42"/>
        <v>156445833.56535</v>
      </c>
      <c r="K560" s="11">
        <f t="shared" si="43"/>
        <v>4.0250257922417454</v>
      </c>
    </row>
    <row r="561" spans="1:11" x14ac:dyDescent="0.3">
      <c r="A561" s="8" t="s">
        <v>607</v>
      </c>
      <c r="B561" s="8" t="s">
        <v>609</v>
      </c>
      <c r="C561" s="15" t="s">
        <v>8</v>
      </c>
      <c r="D561" s="10">
        <v>0.15</v>
      </c>
      <c r="E561" s="14">
        <v>88059750</v>
      </c>
      <c r="F561" s="14">
        <f t="shared" si="40"/>
        <v>26417925</v>
      </c>
      <c r="G561" s="14">
        <v>118135.4</v>
      </c>
      <c r="H561" s="14">
        <f t="shared" si="41"/>
        <v>35440.619999999995</v>
      </c>
      <c r="I561" s="14">
        <f t="shared" si="44"/>
        <v>13208962.5</v>
      </c>
      <c r="J561" s="14">
        <f t="shared" si="42"/>
        <v>3962688.75</v>
      </c>
      <c r="K561" s="11">
        <f t="shared" si="43"/>
        <v>0.10195173666107034</v>
      </c>
    </row>
    <row r="562" spans="1:11" x14ac:dyDescent="0.3">
      <c r="A562" s="8" t="s">
        <v>607</v>
      </c>
      <c r="B562" s="8" t="s">
        <v>610</v>
      </c>
      <c r="C562" s="15" t="s">
        <v>8</v>
      </c>
      <c r="D562" s="10">
        <v>0.15</v>
      </c>
      <c r="E562" s="14">
        <v>52070000</v>
      </c>
      <c r="F562" s="14">
        <f t="shared" si="40"/>
        <v>15621000</v>
      </c>
      <c r="G562" s="14">
        <v>38438</v>
      </c>
      <c r="H562" s="14">
        <f t="shared" si="41"/>
        <v>11531.4</v>
      </c>
      <c r="I562" s="14">
        <f t="shared" si="44"/>
        <v>7810500</v>
      </c>
      <c r="J562" s="14">
        <f t="shared" si="42"/>
        <v>2343150</v>
      </c>
      <c r="K562" s="11">
        <f t="shared" si="43"/>
        <v>6.0284374279303908E-2</v>
      </c>
    </row>
    <row r="563" spans="1:11" x14ac:dyDescent="0.3">
      <c r="A563" s="8" t="s">
        <v>607</v>
      </c>
      <c r="B563" s="8" t="s">
        <v>611</v>
      </c>
      <c r="C563" s="15" t="s">
        <v>8</v>
      </c>
      <c r="D563" s="10">
        <v>0.15</v>
      </c>
      <c r="E563" s="14">
        <v>19771400</v>
      </c>
      <c r="F563" s="14">
        <f t="shared" si="40"/>
        <v>5931420</v>
      </c>
      <c r="G563" s="14">
        <v>15382.19</v>
      </c>
      <c r="H563" s="14">
        <f t="shared" si="41"/>
        <v>4614.6570000000002</v>
      </c>
      <c r="I563" s="14">
        <f t="shared" si="44"/>
        <v>2965710</v>
      </c>
      <c r="J563" s="14">
        <f t="shared" si="42"/>
        <v>889713</v>
      </c>
      <c r="K563" s="11">
        <f t="shared" si="43"/>
        <v>2.2890464329284221E-2</v>
      </c>
    </row>
    <row r="564" spans="1:11" x14ac:dyDescent="0.3">
      <c r="A564" s="8" t="s">
        <v>607</v>
      </c>
      <c r="B564" s="8" t="s">
        <v>612</v>
      </c>
      <c r="C564" s="15" t="s">
        <v>8</v>
      </c>
      <c r="D564" s="10">
        <v>0.15</v>
      </c>
      <c r="E564" s="14">
        <v>5240000</v>
      </c>
      <c r="F564" s="14">
        <f t="shared" si="40"/>
        <v>1572000</v>
      </c>
      <c r="G564" s="14">
        <v>6500</v>
      </c>
      <c r="H564" s="14">
        <f t="shared" si="41"/>
        <v>1950</v>
      </c>
      <c r="I564" s="14">
        <f t="shared" si="44"/>
        <v>786000</v>
      </c>
      <c r="J564" s="14">
        <f t="shared" si="42"/>
        <v>235800</v>
      </c>
      <c r="K564" s="11">
        <f t="shared" si="43"/>
        <v>6.0666433881995871E-3</v>
      </c>
    </row>
    <row r="565" spans="1:11" x14ac:dyDescent="0.3">
      <c r="A565" s="8" t="s">
        <v>607</v>
      </c>
      <c r="B565" s="8" t="s">
        <v>613</v>
      </c>
      <c r="C565" s="15" t="s">
        <v>8</v>
      </c>
      <c r="D565" s="10">
        <v>0.15</v>
      </c>
      <c r="E565" s="14">
        <v>4464000</v>
      </c>
      <c r="F565" s="14">
        <f t="shared" si="40"/>
        <v>1339200</v>
      </c>
      <c r="G565" s="14">
        <v>2678.4</v>
      </c>
      <c r="H565" s="14">
        <f t="shared" si="41"/>
        <v>803.52</v>
      </c>
      <c r="I565" s="14">
        <f t="shared" si="44"/>
        <v>669600</v>
      </c>
      <c r="J565" s="14">
        <f t="shared" si="42"/>
        <v>200880</v>
      </c>
      <c r="K565" s="11">
        <f t="shared" si="43"/>
        <v>5.1682244436875866E-3</v>
      </c>
    </row>
    <row r="566" spans="1:11" x14ac:dyDescent="0.3">
      <c r="A566" s="8" t="s">
        <v>607</v>
      </c>
      <c r="B566" s="8" t="s">
        <v>614</v>
      </c>
      <c r="C566" s="15" t="s">
        <v>8</v>
      </c>
      <c r="D566" s="10">
        <v>0.15</v>
      </c>
      <c r="E566" s="14">
        <v>4000000</v>
      </c>
      <c r="F566" s="14">
        <f t="shared" si="40"/>
        <v>1200000</v>
      </c>
      <c r="G566" s="14">
        <v>5000</v>
      </c>
      <c r="H566" s="14">
        <f t="shared" si="41"/>
        <v>1500</v>
      </c>
      <c r="I566" s="14">
        <f t="shared" si="44"/>
        <v>600000</v>
      </c>
      <c r="J566" s="14">
        <f t="shared" si="42"/>
        <v>180000</v>
      </c>
      <c r="K566" s="11">
        <f t="shared" si="43"/>
        <v>4.6310254871752572E-3</v>
      </c>
    </row>
    <row r="567" spans="1:11" x14ac:dyDescent="0.3">
      <c r="A567" s="8" t="s">
        <v>607</v>
      </c>
      <c r="B567" s="8" t="s">
        <v>615</v>
      </c>
      <c r="C567" s="15" t="s">
        <v>8</v>
      </c>
      <c r="D567" s="10">
        <v>0.15</v>
      </c>
      <c r="E567" s="14">
        <v>3994230</v>
      </c>
      <c r="F567" s="14">
        <f t="shared" si="40"/>
        <v>1198269</v>
      </c>
      <c r="G567" s="14">
        <v>6500</v>
      </c>
      <c r="H567" s="14">
        <f t="shared" si="41"/>
        <v>1950</v>
      </c>
      <c r="I567" s="14">
        <f t="shared" si="44"/>
        <v>599134.5</v>
      </c>
      <c r="J567" s="14">
        <f t="shared" si="42"/>
        <v>179740.35</v>
      </c>
      <c r="K567" s="11">
        <f t="shared" si="43"/>
        <v>4.6243452329100066E-3</v>
      </c>
    </row>
    <row r="568" spans="1:11" x14ac:dyDescent="0.3">
      <c r="A568" s="8" t="s">
        <v>607</v>
      </c>
      <c r="B568" s="8" t="s">
        <v>616</v>
      </c>
      <c r="C568" s="15" t="s">
        <v>8</v>
      </c>
      <c r="D568" s="10">
        <v>0.15</v>
      </c>
      <c r="E568" s="14">
        <v>3984000</v>
      </c>
      <c r="F568" s="14">
        <f t="shared" si="40"/>
        <v>1195200</v>
      </c>
      <c r="G568" s="14">
        <v>4800</v>
      </c>
      <c r="H568" s="14">
        <f t="shared" si="41"/>
        <v>1440</v>
      </c>
      <c r="I568" s="14">
        <f t="shared" si="44"/>
        <v>597600</v>
      </c>
      <c r="J568" s="14">
        <f t="shared" si="42"/>
        <v>179280</v>
      </c>
      <c r="K568" s="11">
        <f t="shared" si="43"/>
        <v>4.6125013852265561E-3</v>
      </c>
    </row>
    <row r="569" spans="1:11" x14ac:dyDescent="0.3">
      <c r="A569" s="8" t="s">
        <v>607</v>
      </c>
      <c r="B569" s="8" t="s">
        <v>617</v>
      </c>
      <c r="C569" s="15" t="s">
        <v>8</v>
      </c>
      <c r="D569" s="10">
        <v>0.15</v>
      </c>
      <c r="E569" s="14">
        <v>2000000</v>
      </c>
      <c r="F569" s="14">
        <f t="shared" si="40"/>
        <v>600000</v>
      </c>
      <c r="G569" s="14">
        <v>5000</v>
      </c>
      <c r="H569" s="14">
        <f t="shared" si="41"/>
        <v>1500</v>
      </c>
      <c r="I569" s="14">
        <f t="shared" si="44"/>
        <v>300000</v>
      </c>
      <c r="J569" s="14">
        <f t="shared" si="42"/>
        <v>90000</v>
      </c>
      <c r="K569" s="11">
        <f t="shared" si="43"/>
        <v>2.3155127435876286E-3</v>
      </c>
    </row>
    <row r="570" spans="1:11" x14ac:dyDescent="0.3">
      <c r="A570" s="8" t="s">
        <v>607</v>
      </c>
      <c r="B570" s="8" t="s">
        <v>618</v>
      </c>
      <c r="C570" s="15" t="s">
        <v>8</v>
      </c>
      <c r="D570" s="10">
        <v>0.15</v>
      </c>
      <c r="E570" s="14">
        <v>2000000</v>
      </c>
      <c r="F570" s="14">
        <f t="shared" si="40"/>
        <v>600000</v>
      </c>
      <c r="G570" s="14">
        <v>5000</v>
      </c>
      <c r="H570" s="14">
        <f t="shared" si="41"/>
        <v>1500</v>
      </c>
      <c r="I570" s="14">
        <f t="shared" si="44"/>
        <v>300000</v>
      </c>
      <c r="J570" s="14">
        <f t="shared" si="42"/>
        <v>90000</v>
      </c>
      <c r="K570" s="11">
        <f t="shared" si="43"/>
        <v>2.3155127435876286E-3</v>
      </c>
    </row>
    <row r="571" spans="1:11" x14ac:dyDescent="0.3">
      <c r="A571" s="8" t="s">
        <v>607</v>
      </c>
      <c r="B571" s="8" t="s">
        <v>619</v>
      </c>
      <c r="C571" s="15" t="s">
        <v>8</v>
      </c>
      <c r="D571" s="10">
        <v>0.15</v>
      </c>
      <c r="E571" s="14">
        <v>1000000</v>
      </c>
      <c r="F571" s="14">
        <f t="shared" si="40"/>
        <v>300000</v>
      </c>
      <c r="G571" s="14">
        <v>2500</v>
      </c>
      <c r="H571" s="14">
        <f t="shared" si="41"/>
        <v>750</v>
      </c>
      <c r="I571" s="14">
        <f t="shared" si="44"/>
        <v>150000</v>
      </c>
      <c r="J571" s="14">
        <f t="shared" si="42"/>
        <v>45000</v>
      </c>
      <c r="K571" s="11">
        <f t="shared" si="43"/>
        <v>1.1577563717938143E-3</v>
      </c>
    </row>
    <row r="572" spans="1:11" x14ac:dyDescent="0.3">
      <c r="A572" s="8" t="s">
        <v>607</v>
      </c>
      <c r="B572" s="8" t="s">
        <v>620</v>
      </c>
      <c r="C572" s="15" t="s">
        <v>8</v>
      </c>
      <c r="D572" s="10">
        <v>0.15</v>
      </c>
      <c r="E572" s="14">
        <v>930000</v>
      </c>
      <c r="F572" s="14">
        <f t="shared" si="40"/>
        <v>279000</v>
      </c>
      <c r="G572" s="14">
        <v>1500</v>
      </c>
      <c r="H572" s="14">
        <f t="shared" si="41"/>
        <v>450</v>
      </c>
      <c r="I572" s="14">
        <f t="shared" si="44"/>
        <v>139500</v>
      </c>
      <c r="J572" s="14">
        <f t="shared" si="42"/>
        <v>41850</v>
      </c>
      <c r="K572" s="11">
        <f t="shared" si="43"/>
        <v>1.0767134257682472E-3</v>
      </c>
    </row>
    <row r="573" spans="1:11" x14ac:dyDescent="0.3">
      <c r="A573" s="8" t="s">
        <v>27</v>
      </c>
      <c r="B573" s="8" t="s">
        <v>27</v>
      </c>
      <c r="C573" s="16">
        <v>0</v>
      </c>
      <c r="D573" s="10">
        <v>0</v>
      </c>
      <c r="E573" s="14">
        <v>336240000</v>
      </c>
      <c r="F573" s="14">
        <f t="shared" si="40"/>
        <v>100872000</v>
      </c>
      <c r="G573" s="14">
        <v>184932</v>
      </c>
      <c r="H573" s="14">
        <f t="shared" si="41"/>
        <v>55479.6</v>
      </c>
      <c r="I573" s="14">
        <f t="shared" si="44"/>
        <v>0</v>
      </c>
      <c r="J573" s="14">
        <f t="shared" si="42"/>
        <v>0</v>
      </c>
      <c r="K573" s="11">
        <f t="shared" si="43"/>
        <v>0</v>
      </c>
    </row>
    <row r="574" spans="1:11" x14ac:dyDescent="0.3">
      <c r="A574" s="8" t="s">
        <v>225</v>
      </c>
      <c r="B574" s="8" t="s">
        <v>226</v>
      </c>
      <c r="C574" s="16">
        <v>0</v>
      </c>
      <c r="D574" s="10">
        <v>0</v>
      </c>
      <c r="E574" s="14">
        <v>12000000</v>
      </c>
      <c r="F574" s="14">
        <f t="shared" si="40"/>
        <v>3600000</v>
      </c>
      <c r="G574" s="14">
        <v>8550</v>
      </c>
      <c r="H574" s="14">
        <f t="shared" si="41"/>
        <v>2565</v>
      </c>
      <c r="I574" s="14">
        <f t="shared" si="44"/>
        <v>0</v>
      </c>
      <c r="J574" s="14">
        <f t="shared" si="42"/>
        <v>0</v>
      </c>
      <c r="K574" s="11">
        <f t="shared" si="43"/>
        <v>0</v>
      </c>
    </row>
    <row r="575" spans="1:11" x14ac:dyDescent="0.3">
      <c r="A575" s="8" t="s">
        <v>14</v>
      </c>
      <c r="B575" s="8" t="s">
        <v>291</v>
      </c>
      <c r="C575" s="16">
        <v>0</v>
      </c>
      <c r="D575" s="10">
        <v>0</v>
      </c>
      <c r="E575" s="14">
        <v>502884687</v>
      </c>
      <c r="F575" s="14">
        <f t="shared" si="40"/>
        <v>150865406.09999999</v>
      </c>
      <c r="G575" s="14">
        <v>287704.21999999997</v>
      </c>
      <c r="H575" s="14">
        <f t="shared" si="41"/>
        <v>86311.265999999989</v>
      </c>
      <c r="I575" s="14">
        <f t="shared" si="44"/>
        <v>0</v>
      </c>
      <c r="J575" s="14">
        <f t="shared" si="42"/>
        <v>0</v>
      </c>
      <c r="K575" s="11">
        <f t="shared" si="43"/>
        <v>0</v>
      </c>
    </row>
    <row r="576" spans="1:11" x14ac:dyDescent="0.3">
      <c r="A576" s="8" t="s">
        <v>14</v>
      </c>
      <c r="B576" s="8" t="s">
        <v>292</v>
      </c>
      <c r="C576" s="16">
        <v>0</v>
      </c>
      <c r="D576" s="10">
        <v>0</v>
      </c>
      <c r="E576" s="14">
        <v>23908000</v>
      </c>
      <c r="F576" s="14">
        <f t="shared" si="40"/>
        <v>7172400</v>
      </c>
      <c r="G576" s="14">
        <v>5749.4</v>
      </c>
      <c r="H576" s="14">
        <f t="shared" si="41"/>
        <v>1724.82</v>
      </c>
      <c r="I576" s="14">
        <f t="shared" si="44"/>
        <v>0</v>
      </c>
      <c r="J576" s="14">
        <f t="shared" si="42"/>
        <v>0</v>
      </c>
      <c r="K576" s="11">
        <f t="shared" si="43"/>
        <v>0</v>
      </c>
    </row>
    <row r="577" spans="1:11" x14ac:dyDescent="0.3">
      <c r="A577" s="8" t="s">
        <v>14</v>
      </c>
      <c r="B577" s="8" t="s">
        <v>293</v>
      </c>
      <c r="C577" s="16">
        <v>0</v>
      </c>
      <c r="D577" s="10">
        <v>0</v>
      </c>
      <c r="E577" s="14">
        <v>19000000</v>
      </c>
      <c r="F577" s="14">
        <f t="shared" si="40"/>
        <v>5700000</v>
      </c>
      <c r="G577" s="14">
        <v>10000</v>
      </c>
      <c r="H577" s="14">
        <f t="shared" si="41"/>
        <v>3000</v>
      </c>
      <c r="I577" s="14">
        <f t="shared" si="44"/>
        <v>0</v>
      </c>
      <c r="J577" s="14">
        <f t="shared" si="42"/>
        <v>0</v>
      </c>
      <c r="K577" s="11">
        <f t="shared" si="43"/>
        <v>0</v>
      </c>
    </row>
    <row r="578" spans="1:11" x14ac:dyDescent="0.3">
      <c r="A578" s="8" t="s">
        <v>14</v>
      </c>
      <c r="B578" s="8" t="s">
        <v>294</v>
      </c>
      <c r="C578" s="16">
        <v>0</v>
      </c>
      <c r="D578" s="10">
        <v>0</v>
      </c>
      <c r="E578" s="14">
        <v>17100000</v>
      </c>
      <c r="F578" s="14">
        <f t="shared" si="40"/>
        <v>5130000</v>
      </c>
      <c r="G578" s="14">
        <v>17500</v>
      </c>
      <c r="H578" s="14">
        <f t="shared" si="41"/>
        <v>5250</v>
      </c>
      <c r="I578" s="14">
        <f t="shared" si="44"/>
        <v>0</v>
      </c>
      <c r="J578" s="14">
        <f t="shared" si="42"/>
        <v>0</v>
      </c>
      <c r="K578" s="11">
        <f t="shared" si="43"/>
        <v>0</v>
      </c>
    </row>
    <row r="579" spans="1:11" x14ac:dyDescent="0.3">
      <c r="A579" s="8" t="s">
        <v>14</v>
      </c>
      <c r="B579" s="8" t="s">
        <v>295</v>
      </c>
      <c r="C579" s="16">
        <v>0</v>
      </c>
      <c r="D579" s="10">
        <v>0</v>
      </c>
      <c r="E579" s="14">
        <v>10304000</v>
      </c>
      <c r="F579" s="14">
        <f t="shared" si="40"/>
        <v>3091200</v>
      </c>
      <c r="G579" s="14">
        <v>5667.2</v>
      </c>
      <c r="H579" s="14">
        <f t="shared" si="41"/>
        <v>1700.1599999999999</v>
      </c>
      <c r="I579" s="14">
        <f t="shared" si="44"/>
        <v>0</v>
      </c>
      <c r="J579" s="14">
        <f t="shared" si="42"/>
        <v>0</v>
      </c>
      <c r="K579" s="11">
        <f t="shared" si="43"/>
        <v>0</v>
      </c>
    </row>
    <row r="580" spans="1:11" x14ac:dyDescent="0.3">
      <c r="A580" s="8" t="s">
        <v>14</v>
      </c>
      <c r="B580" s="8" t="s">
        <v>296</v>
      </c>
      <c r="C580" s="16">
        <v>0</v>
      </c>
      <c r="D580" s="10">
        <v>0</v>
      </c>
      <c r="E580" s="14">
        <v>9500000</v>
      </c>
      <c r="F580" s="14">
        <f t="shared" ref="F580:F586" si="45">E580*0.3</f>
        <v>2850000</v>
      </c>
      <c r="G580" s="14">
        <v>4425</v>
      </c>
      <c r="H580" s="14">
        <f t="shared" ref="H580:H586" si="46">G580*0.3</f>
        <v>1327.5</v>
      </c>
      <c r="I580" s="14">
        <f t="shared" si="44"/>
        <v>0</v>
      </c>
      <c r="J580" s="14">
        <f t="shared" ref="J580:J586" si="47">I580*0.3</f>
        <v>0</v>
      </c>
      <c r="K580" s="11">
        <f t="shared" ref="K580:K586" si="48">J580/$H$587</f>
        <v>0</v>
      </c>
    </row>
    <row r="581" spans="1:11" x14ac:dyDescent="0.3">
      <c r="A581" s="8" t="s">
        <v>14</v>
      </c>
      <c r="B581" s="8" t="s">
        <v>297</v>
      </c>
      <c r="C581" s="16">
        <v>0</v>
      </c>
      <c r="D581" s="10">
        <v>0</v>
      </c>
      <c r="E581" s="14">
        <v>5880000</v>
      </c>
      <c r="F581" s="14">
        <f t="shared" si="45"/>
        <v>1764000</v>
      </c>
      <c r="G581" s="14">
        <v>3234</v>
      </c>
      <c r="H581" s="14">
        <f t="shared" si="46"/>
        <v>970.19999999999993</v>
      </c>
      <c r="I581" s="14">
        <f t="shared" si="44"/>
        <v>0</v>
      </c>
      <c r="J581" s="14">
        <f t="shared" si="47"/>
        <v>0</v>
      </c>
      <c r="K581" s="11">
        <f t="shared" si="48"/>
        <v>0</v>
      </c>
    </row>
    <row r="582" spans="1:11" x14ac:dyDescent="0.3">
      <c r="A582" s="8" t="s">
        <v>14</v>
      </c>
      <c r="B582" s="8" t="s">
        <v>298</v>
      </c>
      <c r="C582" s="16">
        <v>0</v>
      </c>
      <c r="D582" s="10">
        <v>0</v>
      </c>
      <c r="E582" s="14">
        <v>1500000</v>
      </c>
      <c r="F582" s="14">
        <f t="shared" si="45"/>
        <v>450000</v>
      </c>
      <c r="G582" s="14">
        <v>2500</v>
      </c>
      <c r="H582" s="14">
        <f t="shared" si="46"/>
        <v>750</v>
      </c>
      <c r="I582" s="14">
        <f t="shared" ref="I582:I586" si="49">E582*D582</f>
        <v>0</v>
      </c>
      <c r="J582" s="14">
        <f t="shared" si="47"/>
        <v>0</v>
      </c>
      <c r="K582" s="11">
        <f t="shared" si="48"/>
        <v>0</v>
      </c>
    </row>
    <row r="583" spans="1:11" x14ac:dyDescent="0.3">
      <c r="A583" s="8" t="s">
        <v>299</v>
      </c>
      <c r="B583" s="8" t="s">
        <v>300</v>
      </c>
      <c r="C583" s="16">
        <v>0</v>
      </c>
      <c r="D583" s="10">
        <v>0</v>
      </c>
      <c r="E583" s="14">
        <v>81816000</v>
      </c>
      <c r="F583" s="14">
        <f t="shared" si="45"/>
        <v>24544800</v>
      </c>
      <c r="G583" s="14">
        <v>65921.8</v>
      </c>
      <c r="H583" s="14">
        <f t="shared" si="46"/>
        <v>19776.54</v>
      </c>
      <c r="I583" s="14">
        <f t="shared" si="49"/>
        <v>0</v>
      </c>
      <c r="J583" s="14">
        <f t="shared" si="47"/>
        <v>0</v>
      </c>
      <c r="K583" s="11">
        <f t="shared" si="48"/>
        <v>0</v>
      </c>
    </row>
    <row r="584" spans="1:11" x14ac:dyDescent="0.3">
      <c r="A584" s="8" t="s">
        <v>299</v>
      </c>
      <c r="B584" s="8" t="s">
        <v>301</v>
      </c>
      <c r="C584" s="16">
        <v>0</v>
      </c>
      <c r="D584" s="10">
        <v>0</v>
      </c>
      <c r="E584" s="14">
        <v>672000</v>
      </c>
      <c r="F584" s="14">
        <f t="shared" si="45"/>
        <v>201600</v>
      </c>
      <c r="G584" s="14">
        <v>1800</v>
      </c>
      <c r="H584" s="14">
        <f t="shared" si="46"/>
        <v>540</v>
      </c>
      <c r="I584" s="14">
        <f t="shared" si="49"/>
        <v>0</v>
      </c>
      <c r="J584" s="14">
        <f t="shared" si="47"/>
        <v>0</v>
      </c>
      <c r="K584" s="11">
        <f t="shared" si="48"/>
        <v>0</v>
      </c>
    </row>
    <row r="585" spans="1:11" x14ac:dyDescent="0.3">
      <c r="A585" s="8" t="s">
        <v>299</v>
      </c>
      <c r="B585" s="8" t="s">
        <v>302</v>
      </c>
      <c r="C585" s="16">
        <v>0</v>
      </c>
      <c r="D585" s="10">
        <v>0</v>
      </c>
      <c r="E585" s="14">
        <v>532280</v>
      </c>
      <c r="F585" s="14">
        <f t="shared" si="45"/>
        <v>159684</v>
      </c>
      <c r="G585" s="14">
        <v>1500</v>
      </c>
      <c r="H585" s="14">
        <f t="shared" si="46"/>
        <v>450</v>
      </c>
      <c r="I585" s="14">
        <f t="shared" si="49"/>
        <v>0</v>
      </c>
      <c r="J585" s="14">
        <f t="shared" si="47"/>
        <v>0</v>
      </c>
      <c r="K585" s="11">
        <f t="shared" si="48"/>
        <v>0</v>
      </c>
    </row>
    <row r="586" spans="1:11" x14ac:dyDescent="0.3">
      <c r="A586" s="8" t="s">
        <v>520</v>
      </c>
      <c r="B586" s="8" t="s">
        <v>520</v>
      </c>
      <c r="C586" s="16" t="s">
        <v>9</v>
      </c>
      <c r="D586" s="10">
        <v>0</v>
      </c>
      <c r="E586" s="14">
        <v>3844964140</v>
      </c>
      <c r="F586" s="14">
        <f t="shared" si="45"/>
        <v>1153489242</v>
      </c>
      <c r="G586" s="14">
        <v>2116763.6800000002</v>
      </c>
      <c r="H586" s="14">
        <f t="shared" si="46"/>
        <v>635029.10400000005</v>
      </c>
      <c r="I586" s="14">
        <f t="shared" si="49"/>
        <v>0</v>
      </c>
      <c r="J586" s="14">
        <f t="shared" si="47"/>
        <v>0</v>
      </c>
      <c r="K586" s="11">
        <f t="shared" si="48"/>
        <v>0</v>
      </c>
    </row>
    <row r="587" spans="1:11" x14ac:dyDescent="0.3">
      <c r="G587" t="s">
        <v>621</v>
      </c>
      <c r="H587" s="20">
        <f>SUM(H3:H586)</f>
        <v>38868281.00999999</v>
      </c>
    </row>
    <row r="595" spans="1:5" x14ac:dyDescent="0.3">
      <c r="B595" s="4"/>
    </row>
    <row r="598" spans="1:5" ht="21" x14ac:dyDescent="0.4">
      <c r="C598" s="3" t="s">
        <v>10</v>
      </c>
    </row>
    <row r="599" spans="1:5" x14ac:dyDescent="0.3">
      <c r="D599" s="4" t="s">
        <v>26</v>
      </c>
      <c r="E599" s="4" t="s">
        <v>29</v>
      </c>
    </row>
    <row r="600" spans="1:5" x14ac:dyDescent="0.3">
      <c r="A600" s="4" t="s">
        <v>25</v>
      </c>
      <c r="B600" s="4">
        <f ca="1">AVERAGE(C608:C1607)</f>
        <v>2386501977.1868553</v>
      </c>
      <c r="D600" s="1" t="s">
        <v>4</v>
      </c>
      <c r="E600" s="1">
        <f>VLOOKUP(E599,B2:F586,5, FALSE)</f>
        <v>12256070137.566</v>
      </c>
    </row>
    <row r="601" spans="1:5" x14ac:dyDescent="0.3">
      <c r="A601" s="4" t="s">
        <v>11</v>
      </c>
      <c r="B601" s="4">
        <f ca="1">_xlfn.PERCENTILE.INC(C608:C1607, 0.95)</f>
        <v>4412185249.5237608</v>
      </c>
      <c r="D601" s="4" t="s">
        <v>3</v>
      </c>
      <c r="E601" s="4">
        <f>VLOOKUP(E599,B3:D586,3,FALSE)</f>
        <v>0.4</v>
      </c>
    </row>
    <row r="602" spans="1:5" x14ac:dyDescent="0.3">
      <c r="D602" s="1" t="s">
        <v>2</v>
      </c>
      <c r="E602" s="1" t="str">
        <f>VLOOKUP(E599,B3:C586,2,FALSE)</f>
        <v>III</v>
      </c>
    </row>
    <row r="605" spans="1:5" ht="21" x14ac:dyDescent="0.4">
      <c r="C605" s="3"/>
      <c r="D605" s="2"/>
      <c r="E605" s="2"/>
    </row>
    <row r="607" spans="1:5" x14ac:dyDescent="0.3">
      <c r="A607" s="4"/>
      <c r="B607" s="4" t="s">
        <v>12</v>
      </c>
      <c r="C607" s="4" t="s">
        <v>13</v>
      </c>
    </row>
    <row r="608" spans="1:5" x14ac:dyDescent="0.3">
      <c r="A608" s="4">
        <v>1</v>
      </c>
      <c r="B608" s="4">
        <f t="shared" ref="B608:B671" ca="1" si="50">ROUND(RAND(),1)*$E$601</f>
        <v>0.2</v>
      </c>
      <c r="C608" s="4">
        <f t="shared" ref="C608:C671" ca="1" si="51">B608*$E$600</f>
        <v>2451214027.5132003</v>
      </c>
    </row>
    <row r="609" spans="1:5" x14ac:dyDescent="0.3">
      <c r="A609" s="4">
        <v>2</v>
      </c>
      <c r="B609" s="4">
        <f t="shared" ca="1" si="50"/>
        <v>0.27999999999999997</v>
      </c>
      <c r="C609" s="4">
        <f t="shared" ca="1" si="51"/>
        <v>3431699638.5184798</v>
      </c>
    </row>
    <row r="610" spans="1:5" x14ac:dyDescent="0.3">
      <c r="A610" s="4">
        <v>3</v>
      </c>
      <c r="B610" s="4">
        <f t="shared" ca="1" si="50"/>
        <v>0.2</v>
      </c>
      <c r="C610" s="4">
        <f t="shared" ca="1" si="51"/>
        <v>2451214027.5132003</v>
      </c>
      <c r="D610" s="2"/>
      <c r="E610" s="2"/>
    </row>
    <row r="611" spans="1:5" x14ac:dyDescent="0.3">
      <c r="A611" s="4">
        <v>4</v>
      </c>
      <c r="B611" s="4">
        <f t="shared" ca="1" si="50"/>
        <v>8.0000000000000016E-2</v>
      </c>
      <c r="C611" s="4">
        <f t="shared" ca="1" si="51"/>
        <v>980485611.00528014</v>
      </c>
    </row>
    <row r="612" spans="1:5" x14ac:dyDescent="0.3">
      <c r="A612" s="4">
        <v>5</v>
      </c>
      <c r="B612" s="4">
        <f t="shared" ca="1" si="50"/>
        <v>0.12</v>
      </c>
      <c r="C612" s="4">
        <f t="shared" ca="1" si="51"/>
        <v>1470728416.50792</v>
      </c>
    </row>
    <row r="613" spans="1:5" x14ac:dyDescent="0.3">
      <c r="A613" s="4">
        <v>6</v>
      </c>
      <c r="B613" s="4">
        <f t="shared" ca="1" si="50"/>
        <v>0.32000000000000006</v>
      </c>
      <c r="C613" s="4">
        <f t="shared" ca="1" si="51"/>
        <v>3921942444.0211205</v>
      </c>
      <c r="D613" s="2"/>
      <c r="E613" s="2"/>
    </row>
    <row r="614" spans="1:5" x14ac:dyDescent="0.3">
      <c r="A614" s="4">
        <v>7</v>
      </c>
      <c r="B614" s="4">
        <f t="shared" ca="1" si="50"/>
        <v>4.0000000000000008E-2</v>
      </c>
      <c r="C614" s="4">
        <f t="shared" ca="1" si="51"/>
        <v>490242805.50264007</v>
      </c>
    </row>
    <row r="615" spans="1:5" x14ac:dyDescent="0.3">
      <c r="A615" s="4">
        <v>8</v>
      </c>
      <c r="B615" s="4">
        <f t="shared" ca="1" si="50"/>
        <v>0.16000000000000003</v>
      </c>
      <c r="C615" s="4">
        <f t="shared" ca="1" si="51"/>
        <v>1960971222.0105603</v>
      </c>
      <c r="D615" s="2"/>
      <c r="E615" s="2"/>
    </row>
    <row r="616" spans="1:5" x14ac:dyDescent="0.3">
      <c r="A616" s="4">
        <v>9</v>
      </c>
      <c r="B616" s="4">
        <f t="shared" ca="1" si="50"/>
        <v>0.36000000000000004</v>
      </c>
      <c r="C616" s="4">
        <f t="shared" ca="1" si="51"/>
        <v>4412185249.5237608</v>
      </c>
    </row>
    <row r="617" spans="1:5" x14ac:dyDescent="0.3">
      <c r="A617" s="4">
        <v>10</v>
      </c>
      <c r="B617" s="4">
        <f t="shared" ca="1" si="50"/>
        <v>4.0000000000000008E-2</v>
      </c>
      <c r="C617" s="4">
        <f t="shared" ca="1" si="51"/>
        <v>490242805.50264007</v>
      </c>
    </row>
    <row r="618" spans="1:5" x14ac:dyDescent="0.3">
      <c r="A618" s="4">
        <v>11</v>
      </c>
      <c r="B618" s="4">
        <f t="shared" ca="1" si="50"/>
        <v>0.32000000000000006</v>
      </c>
      <c r="C618" s="4">
        <f t="shared" ca="1" si="51"/>
        <v>3921942444.0211205</v>
      </c>
    </row>
    <row r="619" spans="1:5" x14ac:dyDescent="0.3">
      <c r="A619" s="4">
        <v>12</v>
      </c>
      <c r="B619" s="4">
        <f t="shared" ca="1" si="50"/>
        <v>8.0000000000000016E-2</v>
      </c>
      <c r="C619" s="4">
        <f t="shared" ca="1" si="51"/>
        <v>980485611.00528014</v>
      </c>
    </row>
    <row r="620" spans="1:5" x14ac:dyDescent="0.3">
      <c r="A620" s="4">
        <v>13</v>
      </c>
      <c r="B620" s="4">
        <f t="shared" ca="1" si="50"/>
        <v>0</v>
      </c>
      <c r="C620" s="4">
        <f t="shared" ca="1" si="51"/>
        <v>0</v>
      </c>
      <c r="D620" s="2"/>
      <c r="E620" s="2"/>
    </row>
    <row r="621" spans="1:5" x14ac:dyDescent="0.3">
      <c r="A621" s="4">
        <v>14</v>
      </c>
      <c r="B621" s="4">
        <f t="shared" ca="1" si="50"/>
        <v>0</v>
      </c>
      <c r="C621" s="4">
        <f t="shared" ca="1" si="51"/>
        <v>0</v>
      </c>
    </row>
    <row r="622" spans="1:5" x14ac:dyDescent="0.3">
      <c r="A622" s="4">
        <v>15</v>
      </c>
      <c r="B622" s="4">
        <f t="shared" ca="1" si="50"/>
        <v>0.24</v>
      </c>
      <c r="C622" s="4">
        <f t="shared" ca="1" si="51"/>
        <v>2941456833.0158401</v>
      </c>
    </row>
    <row r="623" spans="1:5" x14ac:dyDescent="0.3">
      <c r="A623" s="4">
        <v>16</v>
      </c>
      <c r="B623" s="4">
        <f t="shared" ca="1" si="50"/>
        <v>0.2</v>
      </c>
      <c r="C623" s="4">
        <f t="shared" ca="1" si="51"/>
        <v>2451214027.5132003</v>
      </c>
      <c r="D623" s="2"/>
      <c r="E623" s="2"/>
    </row>
    <row r="624" spans="1:5" x14ac:dyDescent="0.3">
      <c r="A624" s="4">
        <v>17</v>
      </c>
      <c r="B624" s="4">
        <f t="shared" ca="1" si="50"/>
        <v>8.0000000000000016E-2</v>
      </c>
      <c r="C624" s="4">
        <f t="shared" ca="1" si="51"/>
        <v>980485611.00528014</v>
      </c>
    </row>
    <row r="625" spans="1:5" x14ac:dyDescent="0.3">
      <c r="A625" s="4">
        <v>18</v>
      </c>
      <c r="B625" s="4">
        <f t="shared" ca="1" si="50"/>
        <v>8.0000000000000016E-2</v>
      </c>
      <c r="C625" s="4">
        <f t="shared" ca="1" si="51"/>
        <v>980485611.00528014</v>
      </c>
      <c r="D625" s="2"/>
      <c r="E625" s="2"/>
    </row>
    <row r="626" spans="1:5" x14ac:dyDescent="0.3">
      <c r="A626" s="4">
        <v>19</v>
      </c>
      <c r="B626" s="4">
        <f t="shared" ca="1" si="50"/>
        <v>4.0000000000000008E-2</v>
      </c>
      <c r="C626" s="4">
        <f t="shared" ca="1" si="51"/>
        <v>490242805.50264007</v>
      </c>
    </row>
    <row r="627" spans="1:5" x14ac:dyDescent="0.3">
      <c r="A627" s="4">
        <v>20</v>
      </c>
      <c r="B627" s="4">
        <f t="shared" ca="1" si="50"/>
        <v>0.4</v>
      </c>
      <c r="C627" s="4">
        <f t="shared" ca="1" si="51"/>
        <v>4902428055.0264006</v>
      </c>
    </row>
    <row r="628" spans="1:5" x14ac:dyDescent="0.3">
      <c r="A628" s="4">
        <v>21</v>
      </c>
      <c r="B628" s="4">
        <f t="shared" ca="1" si="50"/>
        <v>0.27999999999999997</v>
      </c>
      <c r="C628" s="4">
        <f t="shared" ca="1" si="51"/>
        <v>3431699638.5184798</v>
      </c>
    </row>
    <row r="629" spans="1:5" x14ac:dyDescent="0.3">
      <c r="A629" s="4">
        <v>22</v>
      </c>
      <c r="B629" s="4">
        <f t="shared" ca="1" si="50"/>
        <v>0.2</v>
      </c>
      <c r="C629" s="4">
        <f t="shared" ca="1" si="51"/>
        <v>2451214027.5132003</v>
      </c>
    </row>
    <row r="630" spans="1:5" x14ac:dyDescent="0.3">
      <c r="A630" s="4">
        <v>23</v>
      </c>
      <c r="B630" s="4">
        <f t="shared" ca="1" si="50"/>
        <v>0.24</v>
      </c>
      <c r="C630" s="4">
        <f t="shared" ca="1" si="51"/>
        <v>2941456833.0158401</v>
      </c>
      <c r="D630" s="2"/>
      <c r="E630" s="2"/>
    </row>
    <row r="631" spans="1:5" x14ac:dyDescent="0.3">
      <c r="A631" s="4">
        <v>24</v>
      </c>
      <c r="B631" s="4">
        <f t="shared" ca="1" si="50"/>
        <v>0.36000000000000004</v>
      </c>
      <c r="C631" s="4">
        <f t="shared" ca="1" si="51"/>
        <v>4412185249.5237608</v>
      </c>
    </row>
    <row r="632" spans="1:5" x14ac:dyDescent="0.3">
      <c r="A632" s="4">
        <v>25</v>
      </c>
      <c r="B632" s="4">
        <f t="shared" ca="1" si="50"/>
        <v>0.4</v>
      </c>
      <c r="C632" s="4">
        <f t="shared" ca="1" si="51"/>
        <v>4902428055.0264006</v>
      </c>
    </row>
    <row r="633" spans="1:5" x14ac:dyDescent="0.3">
      <c r="A633" s="4">
        <v>26</v>
      </c>
      <c r="B633" s="4">
        <f t="shared" ca="1" si="50"/>
        <v>0.24</v>
      </c>
      <c r="C633" s="4">
        <f t="shared" ca="1" si="51"/>
        <v>2941456833.0158401</v>
      </c>
      <c r="D633" s="2"/>
      <c r="E633" s="2"/>
    </row>
    <row r="634" spans="1:5" x14ac:dyDescent="0.3">
      <c r="A634" s="4">
        <v>27</v>
      </c>
      <c r="B634" s="4">
        <f t="shared" ca="1" si="50"/>
        <v>0.2</v>
      </c>
      <c r="C634" s="4">
        <f t="shared" ca="1" si="51"/>
        <v>2451214027.5132003</v>
      </c>
    </row>
    <row r="635" spans="1:5" x14ac:dyDescent="0.3">
      <c r="A635" s="4">
        <v>28</v>
      </c>
      <c r="B635" s="4">
        <f t="shared" ca="1" si="50"/>
        <v>4.0000000000000008E-2</v>
      </c>
      <c r="C635" s="4">
        <f t="shared" ca="1" si="51"/>
        <v>490242805.50264007</v>
      </c>
      <c r="D635" s="2"/>
      <c r="E635" s="2"/>
    </row>
    <row r="636" spans="1:5" x14ac:dyDescent="0.3">
      <c r="A636" s="4">
        <v>29</v>
      </c>
      <c r="B636" s="4">
        <f t="shared" ca="1" si="50"/>
        <v>0.16000000000000003</v>
      </c>
      <c r="C636" s="4">
        <f t="shared" ca="1" si="51"/>
        <v>1960971222.0105603</v>
      </c>
    </row>
    <row r="637" spans="1:5" x14ac:dyDescent="0.3">
      <c r="A637" s="4">
        <v>30</v>
      </c>
      <c r="B637" s="4">
        <f t="shared" ca="1" si="50"/>
        <v>4.0000000000000008E-2</v>
      </c>
      <c r="C637" s="4">
        <f t="shared" ca="1" si="51"/>
        <v>490242805.50264007</v>
      </c>
    </row>
    <row r="638" spans="1:5" x14ac:dyDescent="0.3">
      <c r="A638" s="4">
        <v>31</v>
      </c>
      <c r="B638" s="4">
        <f t="shared" ca="1" si="50"/>
        <v>0.16000000000000003</v>
      </c>
      <c r="C638" s="4">
        <f t="shared" ca="1" si="51"/>
        <v>1960971222.0105603</v>
      </c>
    </row>
    <row r="639" spans="1:5" x14ac:dyDescent="0.3">
      <c r="A639" s="4">
        <v>32</v>
      </c>
      <c r="B639" s="4">
        <f t="shared" ca="1" si="50"/>
        <v>0.32000000000000006</v>
      </c>
      <c r="C639" s="4">
        <f t="shared" ca="1" si="51"/>
        <v>3921942444.0211205</v>
      </c>
    </row>
    <row r="640" spans="1:5" x14ac:dyDescent="0.3">
      <c r="A640" s="4">
        <v>33</v>
      </c>
      <c r="B640" s="4">
        <f t="shared" ca="1" si="50"/>
        <v>0.24</v>
      </c>
      <c r="C640" s="4">
        <f t="shared" ca="1" si="51"/>
        <v>2941456833.0158401</v>
      </c>
      <c r="D640" s="2"/>
      <c r="E640" s="2"/>
    </row>
    <row r="641" spans="1:5" x14ac:dyDescent="0.3">
      <c r="A641" s="4">
        <v>34</v>
      </c>
      <c r="B641" s="4">
        <f t="shared" ca="1" si="50"/>
        <v>0.12</v>
      </c>
      <c r="C641" s="4">
        <f t="shared" ca="1" si="51"/>
        <v>1470728416.50792</v>
      </c>
    </row>
    <row r="642" spans="1:5" x14ac:dyDescent="0.3">
      <c r="A642" s="4">
        <v>35</v>
      </c>
      <c r="B642" s="4">
        <f t="shared" ca="1" si="50"/>
        <v>0.12</v>
      </c>
      <c r="C642" s="4">
        <f t="shared" ca="1" si="51"/>
        <v>1470728416.50792</v>
      </c>
    </row>
    <row r="643" spans="1:5" x14ac:dyDescent="0.3">
      <c r="A643" s="4">
        <v>36</v>
      </c>
      <c r="B643" s="4">
        <f t="shared" ca="1" si="50"/>
        <v>8.0000000000000016E-2</v>
      </c>
      <c r="C643" s="4">
        <f t="shared" ca="1" si="51"/>
        <v>980485611.00528014</v>
      </c>
      <c r="D643" s="2"/>
      <c r="E643" s="2"/>
    </row>
    <row r="644" spans="1:5" x14ac:dyDescent="0.3">
      <c r="A644" s="4">
        <v>37</v>
      </c>
      <c r="B644" s="4">
        <f t="shared" ca="1" si="50"/>
        <v>0</v>
      </c>
      <c r="C644" s="4">
        <f t="shared" ca="1" si="51"/>
        <v>0</v>
      </c>
    </row>
    <row r="645" spans="1:5" x14ac:dyDescent="0.3">
      <c r="A645" s="4">
        <v>38</v>
      </c>
      <c r="B645" s="4">
        <f t="shared" ca="1" si="50"/>
        <v>0.2</v>
      </c>
      <c r="C645" s="4">
        <f t="shared" ca="1" si="51"/>
        <v>2451214027.5132003</v>
      </c>
      <c r="D645" s="2"/>
      <c r="E645" s="2"/>
    </row>
    <row r="646" spans="1:5" x14ac:dyDescent="0.3">
      <c r="A646" s="4">
        <v>39</v>
      </c>
      <c r="B646" s="4">
        <f t="shared" ca="1" si="50"/>
        <v>0.2</v>
      </c>
      <c r="C646" s="4">
        <f t="shared" ca="1" si="51"/>
        <v>2451214027.5132003</v>
      </c>
    </row>
    <row r="647" spans="1:5" x14ac:dyDescent="0.3">
      <c r="A647" s="4">
        <v>40</v>
      </c>
      <c r="B647" s="4">
        <f t="shared" ca="1" si="50"/>
        <v>0.16000000000000003</v>
      </c>
      <c r="C647" s="4">
        <f t="shared" ca="1" si="51"/>
        <v>1960971222.0105603</v>
      </c>
    </row>
    <row r="648" spans="1:5" x14ac:dyDescent="0.3">
      <c r="A648" s="4">
        <v>41</v>
      </c>
      <c r="B648" s="4">
        <f t="shared" ca="1" si="50"/>
        <v>0.24</v>
      </c>
      <c r="C648" s="4">
        <f t="shared" ca="1" si="51"/>
        <v>2941456833.0158401</v>
      </c>
    </row>
    <row r="649" spans="1:5" x14ac:dyDescent="0.3">
      <c r="A649" s="4">
        <v>42</v>
      </c>
      <c r="B649" s="4">
        <f t="shared" ca="1" si="50"/>
        <v>0.2</v>
      </c>
      <c r="C649" s="4">
        <f t="shared" ca="1" si="51"/>
        <v>2451214027.5132003</v>
      </c>
    </row>
    <row r="650" spans="1:5" x14ac:dyDescent="0.3">
      <c r="A650" s="4">
        <v>43</v>
      </c>
      <c r="B650" s="4">
        <f t="shared" ca="1" si="50"/>
        <v>0.12</v>
      </c>
      <c r="C650" s="4">
        <f t="shared" ca="1" si="51"/>
        <v>1470728416.50792</v>
      </c>
      <c r="D650" s="2"/>
      <c r="E650" s="2"/>
    </row>
    <row r="651" spans="1:5" x14ac:dyDescent="0.3">
      <c r="A651" s="4">
        <v>44</v>
      </c>
      <c r="B651" s="4">
        <f t="shared" ca="1" si="50"/>
        <v>0.16000000000000003</v>
      </c>
      <c r="C651" s="4">
        <f t="shared" ca="1" si="51"/>
        <v>1960971222.0105603</v>
      </c>
    </row>
    <row r="652" spans="1:5" x14ac:dyDescent="0.3">
      <c r="A652" s="4">
        <v>45</v>
      </c>
      <c r="B652" s="4">
        <f t="shared" ca="1" si="50"/>
        <v>0.36000000000000004</v>
      </c>
      <c r="C652" s="4">
        <f t="shared" ca="1" si="51"/>
        <v>4412185249.5237608</v>
      </c>
    </row>
    <row r="653" spans="1:5" x14ac:dyDescent="0.3">
      <c r="A653" s="4">
        <v>46</v>
      </c>
      <c r="B653" s="4">
        <f t="shared" ca="1" si="50"/>
        <v>0.27999999999999997</v>
      </c>
      <c r="C653" s="4">
        <f t="shared" ca="1" si="51"/>
        <v>3431699638.5184798</v>
      </c>
      <c r="D653" s="2"/>
      <c r="E653" s="2"/>
    </row>
    <row r="654" spans="1:5" x14ac:dyDescent="0.3">
      <c r="A654" s="4">
        <v>47</v>
      </c>
      <c r="B654" s="4">
        <f t="shared" ca="1" si="50"/>
        <v>4.0000000000000008E-2</v>
      </c>
      <c r="C654" s="4">
        <f t="shared" ca="1" si="51"/>
        <v>490242805.50264007</v>
      </c>
    </row>
    <row r="655" spans="1:5" x14ac:dyDescent="0.3">
      <c r="A655" s="4">
        <v>48</v>
      </c>
      <c r="B655" s="4">
        <f t="shared" ca="1" si="50"/>
        <v>0.27999999999999997</v>
      </c>
      <c r="C655" s="4">
        <f t="shared" ca="1" si="51"/>
        <v>3431699638.5184798</v>
      </c>
      <c r="D655" s="2"/>
      <c r="E655" s="2"/>
    </row>
    <row r="656" spans="1:5" x14ac:dyDescent="0.3">
      <c r="A656" s="4">
        <v>49</v>
      </c>
      <c r="B656" s="4">
        <f t="shared" ca="1" si="50"/>
        <v>0</v>
      </c>
      <c r="C656" s="4">
        <f t="shared" ca="1" si="51"/>
        <v>0</v>
      </c>
    </row>
    <row r="657" spans="1:5" x14ac:dyDescent="0.3">
      <c r="A657" s="4">
        <v>50</v>
      </c>
      <c r="B657" s="4">
        <f t="shared" ca="1" si="50"/>
        <v>0.16000000000000003</v>
      </c>
      <c r="C657" s="4">
        <f t="shared" ca="1" si="51"/>
        <v>1960971222.0105603</v>
      </c>
    </row>
    <row r="658" spans="1:5" x14ac:dyDescent="0.3">
      <c r="A658" s="4">
        <v>51</v>
      </c>
      <c r="B658" s="4">
        <f t="shared" ca="1" si="50"/>
        <v>0.24</v>
      </c>
      <c r="C658" s="4">
        <f t="shared" ca="1" si="51"/>
        <v>2941456833.0158401</v>
      </c>
    </row>
    <row r="659" spans="1:5" x14ac:dyDescent="0.3">
      <c r="A659" s="4">
        <v>52</v>
      </c>
      <c r="B659" s="4">
        <f t="shared" ca="1" si="50"/>
        <v>0.2</v>
      </c>
      <c r="C659" s="4">
        <f t="shared" ca="1" si="51"/>
        <v>2451214027.5132003</v>
      </c>
    </row>
    <row r="660" spans="1:5" x14ac:dyDescent="0.3">
      <c r="A660" s="4">
        <v>53</v>
      </c>
      <c r="B660" s="4">
        <f t="shared" ca="1" si="50"/>
        <v>0</v>
      </c>
      <c r="C660" s="4">
        <f t="shared" ca="1" si="51"/>
        <v>0</v>
      </c>
      <c r="D660" s="2"/>
      <c r="E660" s="2"/>
    </row>
    <row r="661" spans="1:5" x14ac:dyDescent="0.3">
      <c r="A661" s="4">
        <v>54</v>
      </c>
      <c r="B661" s="4">
        <f t="shared" ca="1" si="50"/>
        <v>8.0000000000000016E-2</v>
      </c>
      <c r="C661" s="4">
        <f t="shared" ca="1" si="51"/>
        <v>980485611.00528014</v>
      </c>
    </row>
    <row r="662" spans="1:5" x14ac:dyDescent="0.3">
      <c r="A662" s="4">
        <v>55</v>
      </c>
      <c r="B662" s="4">
        <f t="shared" ca="1" si="50"/>
        <v>0.27999999999999997</v>
      </c>
      <c r="C662" s="4">
        <f t="shared" ca="1" si="51"/>
        <v>3431699638.5184798</v>
      </c>
    </row>
    <row r="663" spans="1:5" x14ac:dyDescent="0.3">
      <c r="A663" s="4">
        <v>56</v>
      </c>
      <c r="B663" s="4">
        <f t="shared" ca="1" si="50"/>
        <v>4.0000000000000008E-2</v>
      </c>
      <c r="C663" s="4">
        <f t="shared" ca="1" si="51"/>
        <v>490242805.50264007</v>
      </c>
      <c r="D663" s="2"/>
      <c r="E663" s="2"/>
    </row>
    <row r="664" spans="1:5" x14ac:dyDescent="0.3">
      <c r="A664" s="4">
        <v>57</v>
      </c>
      <c r="B664" s="4">
        <f t="shared" ca="1" si="50"/>
        <v>0</v>
      </c>
      <c r="C664" s="4">
        <f t="shared" ca="1" si="51"/>
        <v>0</v>
      </c>
    </row>
    <row r="665" spans="1:5" x14ac:dyDescent="0.3">
      <c r="A665" s="4">
        <v>58</v>
      </c>
      <c r="B665" s="4">
        <f t="shared" ca="1" si="50"/>
        <v>8.0000000000000016E-2</v>
      </c>
      <c r="C665" s="4">
        <f t="shared" ca="1" si="51"/>
        <v>980485611.00528014</v>
      </c>
      <c r="D665" s="2"/>
      <c r="E665" s="2"/>
    </row>
    <row r="666" spans="1:5" x14ac:dyDescent="0.3">
      <c r="A666" s="4">
        <v>59</v>
      </c>
      <c r="B666" s="4">
        <f t="shared" ca="1" si="50"/>
        <v>4.0000000000000008E-2</v>
      </c>
      <c r="C666" s="4">
        <f t="shared" ca="1" si="51"/>
        <v>490242805.50264007</v>
      </c>
    </row>
    <row r="667" spans="1:5" x14ac:dyDescent="0.3">
      <c r="A667" s="4">
        <v>60</v>
      </c>
      <c r="B667" s="4">
        <f t="shared" ca="1" si="50"/>
        <v>0.36000000000000004</v>
      </c>
      <c r="C667" s="4">
        <f t="shared" ca="1" si="51"/>
        <v>4412185249.5237608</v>
      </c>
    </row>
    <row r="668" spans="1:5" x14ac:dyDescent="0.3">
      <c r="A668" s="4">
        <v>61</v>
      </c>
      <c r="B668" s="4">
        <f t="shared" ca="1" si="50"/>
        <v>0.12</v>
      </c>
      <c r="C668" s="4">
        <f t="shared" ca="1" si="51"/>
        <v>1470728416.50792</v>
      </c>
    </row>
    <row r="669" spans="1:5" x14ac:dyDescent="0.3">
      <c r="A669" s="4">
        <v>62</v>
      </c>
      <c r="B669" s="4">
        <f t="shared" ca="1" si="50"/>
        <v>0.36000000000000004</v>
      </c>
      <c r="C669" s="4">
        <f t="shared" ca="1" si="51"/>
        <v>4412185249.5237608</v>
      </c>
    </row>
    <row r="670" spans="1:5" x14ac:dyDescent="0.3">
      <c r="A670" s="4">
        <v>63</v>
      </c>
      <c r="B670" s="4">
        <f t="shared" ca="1" si="50"/>
        <v>0.16000000000000003</v>
      </c>
      <c r="C670" s="4">
        <f t="shared" ca="1" si="51"/>
        <v>1960971222.0105603</v>
      </c>
      <c r="D670" s="2"/>
      <c r="E670" s="2"/>
    </row>
    <row r="671" spans="1:5" x14ac:dyDescent="0.3">
      <c r="A671" s="4">
        <v>64</v>
      </c>
      <c r="B671" s="4">
        <f t="shared" ca="1" si="50"/>
        <v>0.32000000000000006</v>
      </c>
      <c r="C671" s="4">
        <f t="shared" ca="1" si="51"/>
        <v>3921942444.0211205</v>
      </c>
    </row>
    <row r="672" spans="1:5" x14ac:dyDescent="0.3">
      <c r="A672" s="4">
        <v>65</v>
      </c>
      <c r="B672" s="4">
        <f t="shared" ref="B672:B735" ca="1" si="52">ROUND(RAND(),1)*$E$601</f>
        <v>0.36000000000000004</v>
      </c>
      <c r="C672" s="4">
        <f t="shared" ref="C672:C735" ca="1" si="53">B672*$E$600</f>
        <v>4412185249.5237608</v>
      </c>
    </row>
    <row r="673" spans="1:5" x14ac:dyDescent="0.3">
      <c r="A673" s="4">
        <v>66</v>
      </c>
      <c r="B673" s="4">
        <f t="shared" ca="1" si="52"/>
        <v>4.0000000000000008E-2</v>
      </c>
      <c r="C673" s="4">
        <f t="shared" ca="1" si="53"/>
        <v>490242805.50264007</v>
      </c>
      <c r="D673" s="2"/>
      <c r="E673" s="2"/>
    </row>
    <row r="674" spans="1:5" x14ac:dyDescent="0.3">
      <c r="A674" s="4">
        <v>67</v>
      </c>
      <c r="B674" s="4">
        <f t="shared" ca="1" si="52"/>
        <v>0.2</v>
      </c>
      <c r="C674" s="4">
        <f t="shared" ca="1" si="53"/>
        <v>2451214027.5132003</v>
      </c>
    </row>
    <row r="675" spans="1:5" x14ac:dyDescent="0.3">
      <c r="A675" s="4">
        <v>68</v>
      </c>
      <c r="B675" s="4">
        <f t="shared" ca="1" si="52"/>
        <v>0.2</v>
      </c>
      <c r="C675" s="4">
        <f t="shared" ca="1" si="53"/>
        <v>2451214027.5132003</v>
      </c>
      <c r="D675" s="2"/>
      <c r="E675" s="2"/>
    </row>
    <row r="676" spans="1:5" x14ac:dyDescent="0.3">
      <c r="A676" s="4">
        <v>69</v>
      </c>
      <c r="B676" s="4">
        <f t="shared" ca="1" si="52"/>
        <v>0.16000000000000003</v>
      </c>
      <c r="C676" s="4">
        <f t="shared" ca="1" si="53"/>
        <v>1960971222.0105603</v>
      </c>
    </row>
    <row r="677" spans="1:5" x14ac:dyDescent="0.3">
      <c r="A677" s="4">
        <v>70</v>
      </c>
      <c r="B677" s="4">
        <f t="shared" ca="1" si="52"/>
        <v>4.0000000000000008E-2</v>
      </c>
      <c r="C677" s="4">
        <f t="shared" ca="1" si="53"/>
        <v>490242805.50264007</v>
      </c>
    </row>
    <row r="678" spans="1:5" x14ac:dyDescent="0.3">
      <c r="A678" s="4">
        <v>71</v>
      </c>
      <c r="B678" s="4">
        <f t="shared" ca="1" si="52"/>
        <v>0.36000000000000004</v>
      </c>
      <c r="C678" s="4">
        <f t="shared" ca="1" si="53"/>
        <v>4412185249.5237608</v>
      </c>
    </row>
    <row r="679" spans="1:5" x14ac:dyDescent="0.3">
      <c r="A679" s="4">
        <v>72</v>
      </c>
      <c r="B679" s="4">
        <f t="shared" ca="1" si="52"/>
        <v>0.2</v>
      </c>
      <c r="C679" s="4">
        <f t="shared" ca="1" si="53"/>
        <v>2451214027.5132003</v>
      </c>
    </row>
    <row r="680" spans="1:5" x14ac:dyDescent="0.3">
      <c r="A680" s="4">
        <v>73</v>
      </c>
      <c r="B680" s="4">
        <f t="shared" ca="1" si="52"/>
        <v>0.2</v>
      </c>
      <c r="C680" s="4">
        <f t="shared" ca="1" si="53"/>
        <v>2451214027.5132003</v>
      </c>
      <c r="D680" s="2"/>
      <c r="E680" s="2"/>
    </row>
    <row r="681" spans="1:5" x14ac:dyDescent="0.3">
      <c r="A681" s="4">
        <v>74</v>
      </c>
      <c r="B681" s="4">
        <f t="shared" ca="1" si="52"/>
        <v>0.12</v>
      </c>
      <c r="C681" s="4">
        <f t="shared" ca="1" si="53"/>
        <v>1470728416.50792</v>
      </c>
    </row>
    <row r="682" spans="1:5" x14ac:dyDescent="0.3">
      <c r="A682" s="4">
        <v>75</v>
      </c>
      <c r="B682" s="4">
        <f t="shared" ca="1" si="52"/>
        <v>0.24</v>
      </c>
      <c r="C682" s="4">
        <f t="shared" ca="1" si="53"/>
        <v>2941456833.0158401</v>
      </c>
    </row>
    <row r="683" spans="1:5" x14ac:dyDescent="0.3">
      <c r="A683" s="4">
        <v>76</v>
      </c>
      <c r="B683" s="4">
        <f t="shared" ca="1" si="52"/>
        <v>0.32000000000000006</v>
      </c>
      <c r="C683" s="4">
        <f t="shared" ca="1" si="53"/>
        <v>3921942444.0211205</v>
      </c>
      <c r="D683" s="2"/>
      <c r="E683" s="2"/>
    </row>
    <row r="684" spans="1:5" x14ac:dyDescent="0.3">
      <c r="A684" s="4">
        <v>77</v>
      </c>
      <c r="B684" s="4">
        <f t="shared" ca="1" si="52"/>
        <v>0.12</v>
      </c>
      <c r="C684" s="4">
        <f t="shared" ca="1" si="53"/>
        <v>1470728416.50792</v>
      </c>
    </row>
    <row r="685" spans="1:5" x14ac:dyDescent="0.3">
      <c r="A685" s="4">
        <v>78</v>
      </c>
      <c r="B685" s="4">
        <f t="shared" ca="1" si="52"/>
        <v>0</v>
      </c>
      <c r="C685" s="4">
        <f t="shared" ca="1" si="53"/>
        <v>0</v>
      </c>
      <c r="D685" s="2"/>
      <c r="E685" s="2"/>
    </row>
    <row r="686" spans="1:5" x14ac:dyDescent="0.3">
      <c r="A686" s="4">
        <v>79</v>
      </c>
      <c r="B686" s="4">
        <f t="shared" ca="1" si="52"/>
        <v>0.16000000000000003</v>
      </c>
      <c r="C686" s="4">
        <f t="shared" ca="1" si="53"/>
        <v>1960971222.0105603</v>
      </c>
    </row>
    <row r="687" spans="1:5" x14ac:dyDescent="0.3">
      <c r="A687" s="4">
        <v>80</v>
      </c>
      <c r="B687" s="4">
        <f t="shared" ca="1" si="52"/>
        <v>0.12</v>
      </c>
      <c r="C687" s="4">
        <f t="shared" ca="1" si="53"/>
        <v>1470728416.50792</v>
      </c>
    </row>
    <row r="688" spans="1:5" x14ac:dyDescent="0.3">
      <c r="A688" s="4">
        <v>81</v>
      </c>
      <c r="B688" s="4">
        <f t="shared" ca="1" si="52"/>
        <v>0.16000000000000003</v>
      </c>
      <c r="C688" s="4">
        <f t="shared" ca="1" si="53"/>
        <v>1960971222.0105603</v>
      </c>
    </row>
    <row r="689" spans="1:5" x14ac:dyDescent="0.3">
      <c r="A689" s="4">
        <v>82</v>
      </c>
      <c r="B689" s="4">
        <f t="shared" ca="1" si="52"/>
        <v>4.0000000000000008E-2</v>
      </c>
      <c r="C689" s="4">
        <f t="shared" ca="1" si="53"/>
        <v>490242805.50264007</v>
      </c>
    </row>
    <row r="690" spans="1:5" x14ac:dyDescent="0.3">
      <c r="A690" s="4">
        <v>83</v>
      </c>
      <c r="B690" s="4">
        <f t="shared" ca="1" si="52"/>
        <v>0.27999999999999997</v>
      </c>
      <c r="C690" s="4">
        <f t="shared" ca="1" si="53"/>
        <v>3431699638.5184798</v>
      </c>
      <c r="D690" s="2"/>
      <c r="E690" s="2"/>
    </row>
    <row r="691" spans="1:5" x14ac:dyDescent="0.3">
      <c r="A691" s="4">
        <v>84</v>
      </c>
      <c r="B691" s="4">
        <f t="shared" ca="1" si="52"/>
        <v>0</v>
      </c>
      <c r="C691" s="4">
        <f t="shared" ca="1" si="53"/>
        <v>0</v>
      </c>
    </row>
    <row r="692" spans="1:5" x14ac:dyDescent="0.3">
      <c r="A692" s="4">
        <v>85</v>
      </c>
      <c r="B692" s="4">
        <f t="shared" ca="1" si="52"/>
        <v>0.2</v>
      </c>
      <c r="C692" s="4">
        <f t="shared" ca="1" si="53"/>
        <v>2451214027.5132003</v>
      </c>
    </row>
    <row r="693" spans="1:5" x14ac:dyDescent="0.3">
      <c r="A693" s="4">
        <v>86</v>
      </c>
      <c r="B693" s="4">
        <f t="shared" ca="1" si="52"/>
        <v>0.12</v>
      </c>
      <c r="C693" s="4">
        <f t="shared" ca="1" si="53"/>
        <v>1470728416.50792</v>
      </c>
      <c r="D693" s="2"/>
      <c r="E693" s="2"/>
    </row>
    <row r="694" spans="1:5" x14ac:dyDescent="0.3">
      <c r="A694" s="4">
        <v>87</v>
      </c>
      <c r="B694" s="4">
        <f t="shared" ca="1" si="52"/>
        <v>0.12</v>
      </c>
      <c r="C694" s="4">
        <f t="shared" ca="1" si="53"/>
        <v>1470728416.50792</v>
      </c>
    </row>
    <row r="695" spans="1:5" x14ac:dyDescent="0.3">
      <c r="A695" s="4">
        <v>88</v>
      </c>
      <c r="B695" s="4">
        <f t="shared" ca="1" si="52"/>
        <v>0.36000000000000004</v>
      </c>
      <c r="C695" s="4">
        <f t="shared" ca="1" si="53"/>
        <v>4412185249.5237608</v>
      </c>
      <c r="D695" s="2"/>
      <c r="E695" s="2"/>
    </row>
    <row r="696" spans="1:5" x14ac:dyDescent="0.3">
      <c r="A696" s="4">
        <v>89</v>
      </c>
      <c r="B696" s="4">
        <f t="shared" ca="1" si="52"/>
        <v>4.0000000000000008E-2</v>
      </c>
      <c r="C696" s="4">
        <f t="shared" ca="1" si="53"/>
        <v>490242805.50264007</v>
      </c>
    </row>
    <row r="697" spans="1:5" x14ac:dyDescent="0.3">
      <c r="A697" s="4">
        <v>90</v>
      </c>
      <c r="B697" s="4">
        <f t="shared" ca="1" si="52"/>
        <v>0.27999999999999997</v>
      </c>
      <c r="C697" s="4">
        <f t="shared" ca="1" si="53"/>
        <v>3431699638.5184798</v>
      </c>
    </row>
    <row r="698" spans="1:5" x14ac:dyDescent="0.3">
      <c r="A698" s="4">
        <v>91</v>
      </c>
      <c r="B698" s="4">
        <f t="shared" ca="1" si="52"/>
        <v>8.0000000000000016E-2</v>
      </c>
      <c r="C698" s="4">
        <f t="shared" ca="1" si="53"/>
        <v>980485611.00528014</v>
      </c>
    </row>
    <row r="699" spans="1:5" x14ac:dyDescent="0.3">
      <c r="A699" s="4">
        <v>92</v>
      </c>
      <c r="B699" s="4">
        <f t="shared" ca="1" si="52"/>
        <v>0.36000000000000004</v>
      </c>
      <c r="C699" s="4">
        <f t="shared" ca="1" si="53"/>
        <v>4412185249.5237608</v>
      </c>
    </row>
    <row r="700" spans="1:5" x14ac:dyDescent="0.3">
      <c r="A700" s="4">
        <v>93</v>
      </c>
      <c r="B700" s="4">
        <f t="shared" ca="1" si="52"/>
        <v>0.24</v>
      </c>
      <c r="C700" s="4">
        <f t="shared" ca="1" si="53"/>
        <v>2941456833.0158401</v>
      </c>
      <c r="D700" s="2"/>
      <c r="E700" s="2"/>
    </row>
    <row r="701" spans="1:5" x14ac:dyDescent="0.3">
      <c r="A701" s="4">
        <v>94</v>
      </c>
      <c r="B701" s="4">
        <f t="shared" ca="1" si="52"/>
        <v>8.0000000000000016E-2</v>
      </c>
      <c r="C701" s="4">
        <f t="shared" ca="1" si="53"/>
        <v>980485611.00528014</v>
      </c>
    </row>
    <row r="702" spans="1:5" x14ac:dyDescent="0.3">
      <c r="A702" s="4">
        <v>95</v>
      </c>
      <c r="B702" s="4">
        <f t="shared" ca="1" si="52"/>
        <v>8.0000000000000016E-2</v>
      </c>
      <c r="C702" s="4">
        <f t="shared" ca="1" si="53"/>
        <v>980485611.00528014</v>
      </c>
    </row>
    <row r="703" spans="1:5" x14ac:dyDescent="0.3">
      <c r="A703" s="4">
        <v>96</v>
      </c>
      <c r="B703" s="4">
        <f t="shared" ca="1" si="52"/>
        <v>0.16000000000000003</v>
      </c>
      <c r="C703" s="4">
        <f t="shared" ca="1" si="53"/>
        <v>1960971222.0105603</v>
      </c>
      <c r="D703" s="2"/>
      <c r="E703" s="2"/>
    </row>
    <row r="704" spans="1:5" x14ac:dyDescent="0.3">
      <c r="A704" s="4">
        <v>97</v>
      </c>
      <c r="B704" s="4">
        <f t="shared" ca="1" si="52"/>
        <v>0.2</v>
      </c>
      <c r="C704" s="4">
        <f t="shared" ca="1" si="53"/>
        <v>2451214027.5132003</v>
      </c>
    </row>
    <row r="705" spans="1:5" x14ac:dyDescent="0.3">
      <c r="A705" s="4">
        <v>98</v>
      </c>
      <c r="B705" s="4">
        <f t="shared" ca="1" si="52"/>
        <v>0.27999999999999997</v>
      </c>
      <c r="C705" s="4">
        <f t="shared" ca="1" si="53"/>
        <v>3431699638.5184798</v>
      </c>
      <c r="D705" s="2"/>
      <c r="E705" s="2"/>
    </row>
    <row r="706" spans="1:5" x14ac:dyDescent="0.3">
      <c r="A706" s="4">
        <v>99</v>
      </c>
      <c r="B706" s="4">
        <f t="shared" ca="1" si="52"/>
        <v>0.12</v>
      </c>
      <c r="C706" s="4">
        <f t="shared" ca="1" si="53"/>
        <v>1470728416.50792</v>
      </c>
    </row>
    <row r="707" spans="1:5" x14ac:dyDescent="0.3">
      <c r="A707" s="4">
        <v>100</v>
      </c>
      <c r="B707" s="4">
        <f t="shared" ca="1" si="52"/>
        <v>0.2</v>
      </c>
      <c r="C707" s="4">
        <f t="shared" ca="1" si="53"/>
        <v>2451214027.5132003</v>
      </c>
    </row>
    <row r="708" spans="1:5" x14ac:dyDescent="0.3">
      <c r="A708" s="4">
        <v>101</v>
      </c>
      <c r="B708" s="4">
        <f t="shared" ca="1" si="52"/>
        <v>0.16000000000000003</v>
      </c>
      <c r="C708" s="4">
        <f t="shared" ca="1" si="53"/>
        <v>1960971222.0105603</v>
      </c>
    </row>
    <row r="709" spans="1:5" x14ac:dyDescent="0.3">
      <c r="A709" s="4">
        <v>102</v>
      </c>
      <c r="B709" s="4">
        <f t="shared" ca="1" si="52"/>
        <v>0.12</v>
      </c>
      <c r="C709" s="4">
        <f t="shared" ca="1" si="53"/>
        <v>1470728416.50792</v>
      </c>
    </row>
    <row r="710" spans="1:5" x14ac:dyDescent="0.3">
      <c r="A710" s="4">
        <v>103</v>
      </c>
      <c r="B710" s="4">
        <f t="shared" ca="1" si="52"/>
        <v>0</v>
      </c>
      <c r="C710" s="4">
        <f t="shared" ca="1" si="53"/>
        <v>0</v>
      </c>
      <c r="D710" s="2"/>
      <c r="E710" s="2"/>
    </row>
    <row r="711" spans="1:5" x14ac:dyDescent="0.3">
      <c r="A711" s="4">
        <v>104</v>
      </c>
      <c r="B711" s="4">
        <f t="shared" ca="1" si="52"/>
        <v>0.27999999999999997</v>
      </c>
      <c r="C711" s="4">
        <f t="shared" ca="1" si="53"/>
        <v>3431699638.5184798</v>
      </c>
    </row>
    <row r="712" spans="1:5" x14ac:dyDescent="0.3">
      <c r="A712" s="4">
        <v>105</v>
      </c>
      <c r="B712" s="4">
        <f t="shared" ca="1" si="52"/>
        <v>0.27999999999999997</v>
      </c>
      <c r="C712" s="4">
        <f t="shared" ca="1" si="53"/>
        <v>3431699638.5184798</v>
      </c>
    </row>
    <row r="713" spans="1:5" x14ac:dyDescent="0.3">
      <c r="A713" s="4">
        <v>106</v>
      </c>
      <c r="B713" s="4">
        <f t="shared" ca="1" si="52"/>
        <v>0.27999999999999997</v>
      </c>
      <c r="C713" s="4">
        <f t="shared" ca="1" si="53"/>
        <v>3431699638.5184798</v>
      </c>
      <c r="D713" s="2"/>
      <c r="E713" s="2"/>
    </row>
    <row r="714" spans="1:5" x14ac:dyDescent="0.3">
      <c r="A714" s="4">
        <v>107</v>
      </c>
      <c r="B714" s="4">
        <f t="shared" ca="1" si="52"/>
        <v>0.27999999999999997</v>
      </c>
      <c r="C714" s="4">
        <f t="shared" ca="1" si="53"/>
        <v>3431699638.5184798</v>
      </c>
    </row>
    <row r="715" spans="1:5" x14ac:dyDescent="0.3">
      <c r="A715" s="4">
        <v>108</v>
      </c>
      <c r="B715" s="4">
        <f t="shared" ca="1" si="52"/>
        <v>0.16000000000000003</v>
      </c>
      <c r="C715" s="4">
        <f t="shared" ca="1" si="53"/>
        <v>1960971222.0105603</v>
      </c>
      <c r="D715" s="2"/>
      <c r="E715" s="2"/>
    </row>
    <row r="716" spans="1:5" x14ac:dyDescent="0.3">
      <c r="A716" s="4">
        <v>109</v>
      </c>
      <c r="B716" s="4">
        <f t="shared" ca="1" si="52"/>
        <v>4.0000000000000008E-2</v>
      </c>
      <c r="C716" s="4">
        <f t="shared" ca="1" si="53"/>
        <v>490242805.50264007</v>
      </c>
    </row>
    <row r="717" spans="1:5" x14ac:dyDescent="0.3">
      <c r="A717" s="4">
        <v>110</v>
      </c>
      <c r="B717" s="4">
        <f t="shared" ca="1" si="52"/>
        <v>0.32000000000000006</v>
      </c>
      <c r="C717" s="4">
        <f t="shared" ca="1" si="53"/>
        <v>3921942444.0211205</v>
      </c>
    </row>
    <row r="718" spans="1:5" x14ac:dyDescent="0.3">
      <c r="A718" s="4">
        <v>111</v>
      </c>
      <c r="B718" s="4">
        <f t="shared" ca="1" si="52"/>
        <v>0.27999999999999997</v>
      </c>
      <c r="C718" s="4">
        <f t="shared" ca="1" si="53"/>
        <v>3431699638.5184798</v>
      </c>
    </row>
    <row r="719" spans="1:5" x14ac:dyDescent="0.3">
      <c r="A719" s="4">
        <v>112</v>
      </c>
      <c r="B719" s="4">
        <f t="shared" ca="1" si="52"/>
        <v>0</v>
      </c>
      <c r="C719" s="4">
        <f t="shared" ca="1" si="53"/>
        <v>0</v>
      </c>
    </row>
    <row r="720" spans="1:5" x14ac:dyDescent="0.3">
      <c r="A720" s="4">
        <v>113</v>
      </c>
      <c r="B720" s="4">
        <f t="shared" ca="1" si="52"/>
        <v>0.27999999999999997</v>
      </c>
      <c r="C720" s="4">
        <f t="shared" ca="1" si="53"/>
        <v>3431699638.5184798</v>
      </c>
      <c r="D720" s="2"/>
      <c r="E720" s="2"/>
    </row>
    <row r="721" spans="1:5" x14ac:dyDescent="0.3">
      <c r="A721" s="4">
        <v>114</v>
      </c>
      <c r="B721" s="4">
        <f t="shared" ca="1" si="52"/>
        <v>0.32000000000000006</v>
      </c>
      <c r="C721" s="4">
        <f t="shared" ca="1" si="53"/>
        <v>3921942444.0211205</v>
      </c>
    </row>
    <row r="722" spans="1:5" x14ac:dyDescent="0.3">
      <c r="A722" s="4">
        <v>115</v>
      </c>
      <c r="B722" s="4">
        <f t="shared" ca="1" si="52"/>
        <v>0.24</v>
      </c>
      <c r="C722" s="4">
        <f t="shared" ca="1" si="53"/>
        <v>2941456833.0158401</v>
      </c>
    </row>
    <row r="723" spans="1:5" x14ac:dyDescent="0.3">
      <c r="A723" s="4">
        <v>116</v>
      </c>
      <c r="B723" s="4">
        <f t="shared" ca="1" si="52"/>
        <v>0.36000000000000004</v>
      </c>
      <c r="C723" s="4">
        <f t="shared" ca="1" si="53"/>
        <v>4412185249.5237608</v>
      </c>
      <c r="D723" s="2"/>
      <c r="E723" s="2"/>
    </row>
    <row r="724" spans="1:5" x14ac:dyDescent="0.3">
      <c r="A724" s="4">
        <v>117</v>
      </c>
      <c r="B724" s="4">
        <f t="shared" ca="1" si="52"/>
        <v>0.32000000000000006</v>
      </c>
      <c r="C724" s="4">
        <f t="shared" ca="1" si="53"/>
        <v>3921942444.0211205</v>
      </c>
    </row>
    <row r="725" spans="1:5" x14ac:dyDescent="0.3">
      <c r="A725" s="4">
        <v>118</v>
      </c>
      <c r="B725" s="4">
        <f t="shared" ca="1" si="52"/>
        <v>0.2</v>
      </c>
      <c r="C725" s="4">
        <f t="shared" ca="1" si="53"/>
        <v>2451214027.5132003</v>
      </c>
      <c r="D725" s="2"/>
      <c r="E725" s="2"/>
    </row>
    <row r="726" spans="1:5" x14ac:dyDescent="0.3">
      <c r="A726" s="4">
        <v>119</v>
      </c>
      <c r="B726" s="4">
        <f t="shared" ca="1" si="52"/>
        <v>0.4</v>
      </c>
      <c r="C726" s="4">
        <f t="shared" ca="1" si="53"/>
        <v>4902428055.0264006</v>
      </c>
    </row>
    <row r="727" spans="1:5" x14ac:dyDescent="0.3">
      <c r="A727" s="4">
        <v>120</v>
      </c>
      <c r="B727" s="4">
        <f t="shared" ca="1" si="52"/>
        <v>0.24</v>
      </c>
      <c r="C727" s="4">
        <f t="shared" ca="1" si="53"/>
        <v>2941456833.0158401</v>
      </c>
    </row>
    <row r="728" spans="1:5" x14ac:dyDescent="0.3">
      <c r="A728" s="4">
        <v>121</v>
      </c>
      <c r="B728" s="4">
        <f t="shared" ca="1" si="52"/>
        <v>0.12</v>
      </c>
      <c r="C728" s="4">
        <f t="shared" ca="1" si="53"/>
        <v>1470728416.50792</v>
      </c>
    </row>
    <row r="729" spans="1:5" x14ac:dyDescent="0.3">
      <c r="A729" s="4">
        <v>122</v>
      </c>
      <c r="B729" s="4">
        <f t="shared" ca="1" si="52"/>
        <v>0.2</v>
      </c>
      <c r="C729" s="4">
        <f t="shared" ca="1" si="53"/>
        <v>2451214027.5132003</v>
      </c>
    </row>
    <row r="730" spans="1:5" x14ac:dyDescent="0.3">
      <c r="A730" s="4">
        <v>123</v>
      </c>
      <c r="B730" s="4">
        <f t="shared" ca="1" si="52"/>
        <v>0.32000000000000006</v>
      </c>
      <c r="C730" s="4">
        <f t="shared" ca="1" si="53"/>
        <v>3921942444.0211205</v>
      </c>
      <c r="D730" s="2"/>
      <c r="E730" s="2"/>
    </row>
    <row r="731" spans="1:5" x14ac:dyDescent="0.3">
      <c r="A731" s="4">
        <v>124</v>
      </c>
      <c r="B731" s="4">
        <f t="shared" ca="1" si="52"/>
        <v>8.0000000000000016E-2</v>
      </c>
      <c r="C731" s="4">
        <f t="shared" ca="1" si="53"/>
        <v>980485611.00528014</v>
      </c>
    </row>
    <row r="732" spans="1:5" x14ac:dyDescent="0.3">
      <c r="A732" s="4">
        <v>125</v>
      </c>
      <c r="B732" s="4">
        <f t="shared" ca="1" si="52"/>
        <v>0.36000000000000004</v>
      </c>
      <c r="C732" s="4">
        <f t="shared" ca="1" si="53"/>
        <v>4412185249.5237608</v>
      </c>
    </row>
    <row r="733" spans="1:5" x14ac:dyDescent="0.3">
      <c r="A733" s="4">
        <v>126</v>
      </c>
      <c r="B733" s="4">
        <f t="shared" ca="1" si="52"/>
        <v>0.27999999999999997</v>
      </c>
      <c r="C733" s="4">
        <f t="shared" ca="1" si="53"/>
        <v>3431699638.5184798</v>
      </c>
      <c r="D733" s="2"/>
      <c r="E733" s="2"/>
    </row>
    <row r="734" spans="1:5" x14ac:dyDescent="0.3">
      <c r="A734" s="4">
        <v>127</v>
      </c>
      <c r="B734" s="4">
        <f t="shared" ca="1" si="52"/>
        <v>4.0000000000000008E-2</v>
      </c>
      <c r="C734" s="4">
        <f t="shared" ca="1" si="53"/>
        <v>490242805.50264007</v>
      </c>
    </row>
    <row r="735" spans="1:5" x14ac:dyDescent="0.3">
      <c r="A735" s="4">
        <v>128</v>
      </c>
      <c r="B735" s="4">
        <f t="shared" ca="1" si="52"/>
        <v>0.12</v>
      </c>
      <c r="C735" s="4">
        <f t="shared" ca="1" si="53"/>
        <v>1470728416.50792</v>
      </c>
      <c r="D735" s="2"/>
      <c r="E735" s="2"/>
    </row>
    <row r="736" spans="1:5" x14ac:dyDescent="0.3">
      <c r="A736" s="4">
        <v>129</v>
      </c>
      <c r="B736" s="4">
        <f t="shared" ref="B736:B799" ca="1" si="54">ROUND(RAND(),1)*$E$601</f>
        <v>0.12</v>
      </c>
      <c r="C736" s="4">
        <f t="shared" ref="C736:C799" ca="1" si="55">B736*$E$600</f>
        <v>1470728416.50792</v>
      </c>
    </row>
    <row r="737" spans="1:5" x14ac:dyDescent="0.3">
      <c r="A737" s="4">
        <v>130</v>
      </c>
      <c r="B737" s="4">
        <f t="shared" ca="1" si="54"/>
        <v>0.2</v>
      </c>
      <c r="C737" s="4">
        <f t="shared" ca="1" si="55"/>
        <v>2451214027.5132003</v>
      </c>
    </row>
    <row r="738" spans="1:5" x14ac:dyDescent="0.3">
      <c r="A738" s="4">
        <v>131</v>
      </c>
      <c r="B738" s="4">
        <f t="shared" ca="1" si="54"/>
        <v>0.16000000000000003</v>
      </c>
      <c r="C738" s="4">
        <f t="shared" ca="1" si="55"/>
        <v>1960971222.0105603</v>
      </c>
    </row>
    <row r="739" spans="1:5" x14ac:dyDescent="0.3">
      <c r="A739" s="4">
        <v>132</v>
      </c>
      <c r="B739" s="4">
        <f t="shared" ca="1" si="54"/>
        <v>0.36000000000000004</v>
      </c>
      <c r="C739" s="4">
        <f t="shared" ca="1" si="55"/>
        <v>4412185249.5237608</v>
      </c>
    </row>
    <row r="740" spans="1:5" x14ac:dyDescent="0.3">
      <c r="A740" s="4">
        <v>133</v>
      </c>
      <c r="B740" s="4">
        <f t="shared" ca="1" si="54"/>
        <v>0</v>
      </c>
      <c r="C740" s="4">
        <f t="shared" ca="1" si="55"/>
        <v>0</v>
      </c>
      <c r="D740" s="2"/>
      <c r="E740" s="2"/>
    </row>
    <row r="741" spans="1:5" x14ac:dyDescent="0.3">
      <c r="A741" s="4">
        <v>134</v>
      </c>
      <c r="B741" s="4">
        <f t="shared" ca="1" si="54"/>
        <v>0.2</v>
      </c>
      <c r="C741" s="4">
        <f t="shared" ca="1" si="55"/>
        <v>2451214027.5132003</v>
      </c>
    </row>
    <row r="742" spans="1:5" x14ac:dyDescent="0.3">
      <c r="A742" s="4">
        <v>135</v>
      </c>
      <c r="B742" s="4">
        <f t="shared" ca="1" si="54"/>
        <v>0.16000000000000003</v>
      </c>
      <c r="C742" s="4">
        <f t="shared" ca="1" si="55"/>
        <v>1960971222.0105603</v>
      </c>
    </row>
    <row r="743" spans="1:5" x14ac:dyDescent="0.3">
      <c r="A743" s="4">
        <v>136</v>
      </c>
      <c r="B743" s="4">
        <f t="shared" ca="1" si="54"/>
        <v>0.2</v>
      </c>
      <c r="C743" s="4">
        <f t="shared" ca="1" si="55"/>
        <v>2451214027.5132003</v>
      </c>
      <c r="D743" s="2"/>
      <c r="E743" s="2"/>
    </row>
    <row r="744" spans="1:5" x14ac:dyDescent="0.3">
      <c r="A744" s="4">
        <v>137</v>
      </c>
      <c r="B744" s="4">
        <f t="shared" ca="1" si="54"/>
        <v>0.27999999999999997</v>
      </c>
      <c r="C744" s="4">
        <f t="shared" ca="1" si="55"/>
        <v>3431699638.5184798</v>
      </c>
    </row>
    <row r="745" spans="1:5" x14ac:dyDescent="0.3">
      <c r="A745" s="4">
        <v>138</v>
      </c>
      <c r="B745" s="4">
        <f t="shared" ca="1" si="54"/>
        <v>0.27999999999999997</v>
      </c>
      <c r="C745" s="4">
        <f t="shared" ca="1" si="55"/>
        <v>3431699638.5184798</v>
      </c>
      <c r="D745" s="2"/>
      <c r="E745" s="2"/>
    </row>
    <row r="746" spans="1:5" x14ac:dyDescent="0.3">
      <c r="A746" s="4">
        <v>139</v>
      </c>
      <c r="B746" s="4">
        <f t="shared" ca="1" si="54"/>
        <v>0.27999999999999997</v>
      </c>
      <c r="C746" s="4">
        <f t="shared" ca="1" si="55"/>
        <v>3431699638.5184798</v>
      </c>
    </row>
    <row r="747" spans="1:5" x14ac:dyDescent="0.3">
      <c r="A747" s="4">
        <v>140</v>
      </c>
      <c r="B747" s="4">
        <f t="shared" ca="1" si="54"/>
        <v>0.27999999999999997</v>
      </c>
      <c r="C747" s="4">
        <f t="shared" ca="1" si="55"/>
        <v>3431699638.5184798</v>
      </c>
    </row>
    <row r="748" spans="1:5" x14ac:dyDescent="0.3">
      <c r="A748" s="4">
        <v>141</v>
      </c>
      <c r="B748" s="4">
        <f t="shared" ca="1" si="54"/>
        <v>0.12</v>
      </c>
      <c r="C748" s="4">
        <f t="shared" ca="1" si="55"/>
        <v>1470728416.50792</v>
      </c>
    </row>
    <row r="749" spans="1:5" x14ac:dyDescent="0.3">
      <c r="A749" s="4">
        <v>142</v>
      </c>
      <c r="B749" s="4">
        <f t="shared" ca="1" si="54"/>
        <v>4.0000000000000008E-2</v>
      </c>
      <c r="C749" s="4">
        <f t="shared" ca="1" si="55"/>
        <v>490242805.50264007</v>
      </c>
    </row>
    <row r="750" spans="1:5" x14ac:dyDescent="0.3">
      <c r="A750" s="4">
        <v>143</v>
      </c>
      <c r="B750" s="4">
        <f t="shared" ca="1" si="54"/>
        <v>0.2</v>
      </c>
      <c r="C750" s="4">
        <f t="shared" ca="1" si="55"/>
        <v>2451214027.5132003</v>
      </c>
      <c r="D750" s="2"/>
      <c r="E750" s="2"/>
    </row>
    <row r="751" spans="1:5" x14ac:dyDescent="0.3">
      <c r="A751" s="4">
        <v>144</v>
      </c>
      <c r="B751" s="4">
        <f t="shared" ca="1" si="54"/>
        <v>0.32000000000000006</v>
      </c>
      <c r="C751" s="4">
        <f t="shared" ca="1" si="55"/>
        <v>3921942444.0211205</v>
      </c>
    </row>
    <row r="752" spans="1:5" x14ac:dyDescent="0.3">
      <c r="A752" s="4">
        <v>145</v>
      </c>
      <c r="B752" s="4">
        <f t="shared" ca="1" si="54"/>
        <v>0.27999999999999997</v>
      </c>
      <c r="C752" s="4">
        <f t="shared" ca="1" si="55"/>
        <v>3431699638.5184798</v>
      </c>
    </row>
    <row r="753" spans="1:5" x14ac:dyDescent="0.3">
      <c r="A753" s="4">
        <v>146</v>
      </c>
      <c r="B753" s="4">
        <f t="shared" ca="1" si="54"/>
        <v>0.24</v>
      </c>
      <c r="C753" s="4">
        <f t="shared" ca="1" si="55"/>
        <v>2941456833.0158401</v>
      </c>
      <c r="D753" s="2"/>
      <c r="E753" s="2"/>
    </row>
    <row r="754" spans="1:5" x14ac:dyDescent="0.3">
      <c r="A754" s="4">
        <v>147</v>
      </c>
      <c r="B754" s="4">
        <f t="shared" ca="1" si="54"/>
        <v>0.36000000000000004</v>
      </c>
      <c r="C754" s="4">
        <f t="shared" ca="1" si="55"/>
        <v>4412185249.5237608</v>
      </c>
    </row>
    <row r="755" spans="1:5" x14ac:dyDescent="0.3">
      <c r="A755" s="4">
        <v>148</v>
      </c>
      <c r="B755" s="4">
        <f t="shared" ca="1" si="54"/>
        <v>0.2</v>
      </c>
      <c r="C755" s="4">
        <f t="shared" ca="1" si="55"/>
        <v>2451214027.5132003</v>
      </c>
      <c r="D755" s="2"/>
      <c r="E755" s="2"/>
    </row>
    <row r="756" spans="1:5" x14ac:dyDescent="0.3">
      <c r="A756" s="4">
        <v>149</v>
      </c>
      <c r="B756" s="4">
        <f t="shared" ca="1" si="54"/>
        <v>0.27999999999999997</v>
      </c>
      <c r="C756" s="4">
        <f t="shared" ca="1" si="55"/>
        <v>3431699638.5184798</v>
      </c>
    </row>
    <row r="757" spans="1:5" x14ac:dyDescent="0.3">
      <c r="A757" s="4">
        <v>150</v>
      </c>
      <c r="B757" s="4">
        <f t="shared" ca="1" si="54"/>
        <v>0.2</v>
      </c>
      <c r="C757" s="4">
        <f t="shared" ca="1" si="55"/>
        <v>2451214027.5132003</v>
      </c>
    </row>
    <row r="758" spans="1:5" x14ac:dyDescent="0.3">
      <c r="A758" s="4">
        <v>151</v>
      </c>
      <c r="B758" s="4">
        <f t="shared" ca="1" si="54"/>
        <v>0.4</v>
      </c>
      <c r="C758" s="4">
        <f t="shared" ca="1" si="55"/>
        <v>4902428055.0264006</v>
      </c>
    </row>
    <row r="759" spans="1:5" x14ac:dyDescent="0.3">
      <c r="A759" s="4">
        <v>152</v>
      </c>
      <c r="B759" s="4">
        <f t="shared" ca="1" si="54"/>
        <v>0.4</v>
      </c>
      <c r="C759" s="4">
        <f t="shared" ca="1" si="55"/>
        <v>4902428055.0264006</v>
      </c>
    </row>
    <row r="760" spans="1:5" x14ac:dyDescent="0.3">
      <c r="A760" s="4">
        <v>153</v>
      </c>
      <c r="B760" s="4">
        <f t="shared" ca="1" si="54"/>
        <v>0.16000000000000003</v>
      </c>
      <c r="C760" s="4">
        <f t="shared" ca="1" si="55"/>
        <v>1960971222.0105603</v>
      </c>
      <c r="D760" s="2"/>
      <c r="E760" s="2"/>
    </row>
    <row r="761" spans="1:5" x14ac:dyDescent="0.3">
      <c r="A761" s="4">
        <v>154</v>
      </c>
      <c r="B761" s="4">
        <f t="shared" ca="1" si="54"/>
        <v>0.16000000000000003</v>
      </c>
      <c r="C761" s="4">
        <f t="shared" ca="1" si="55"/>
        <v>1960971222.0105603</v>
      </c>
    </row>
    <row r="762" spans="1:5" x14ac:dyDescent="0.3">
      <c r="A762" s="4">
        <v>155</v>
      </c>
      <c r="B762" s="4">
        <f t="shared" ca="1" si="54"/>
        <v>8.0000000000000016E-2</v>
      </c>
      <c r="C762" s="4">
        <f t="shared" ca="1" si="55"/>
        <v>980485611.00528014</v>
      </c>
    </row>
    <row r="763" spans="1:5" x14ac:dyDescent="0.3">
      <c r="A763" s="4">
        <v>156</v>
      </c>
      <c r="B763" s="4">
        <f t="shared" ca="1" si="54"/>
        <v>8.0000000000000016E-2</v>
      </c>
      <c r="C763" s="4">
        <f t="shared" ca="1" si="55"/>
        <v>980485611.00528014</v>
      </c>
      <c r="D763" s="2"/>
      <c r="E763" s="2"/>
    </row>
    <row r="764" spans="1:5" x14ac:dyDescent="0.3">
      <c r="A764" s="4">
        <v>157</v>
      </c>
      <c r="B764" s="4">
        <f t="shared" ca="1" si="54"/>
        <v>0.27999999999999997</v>
      </c>
      <c r="C764" s="4">
        <f t="shared" ca="1" si="55"/>
        <v>3431699638.5184798</v>
      </c>
    </row>
    <row r="765" spans="1:5" x14ac:dyDescent="0.3">
      <c r="A765" s="4">
        <v>158</v>
      </c>
      <c r="B765" s="4">
        <f t="shared" ca="1" si="54"/>
        <v>4.0000000000000008E-2</v>
      </c>
      <c r="C765" s="4">
        <f t="shared" ca="1" si="55"/>
        <v>490242805.50264007</v>
      </c>
      <c r="D765" s="2"/>
      <c r="E765" s="2"/>
    </row>
    <row r="766" spans="1:5" x14ac:dyDescent="0.3">
      <c r="A766" s="4">
        <v>159</v>
      </c>
      <c r="B766" s="4">
        <f t="shared" ca="1" si="54"/>
        <v>0.16000000000000003</v>
      </c>
      <c r="C766" s="4">
        <f t="shared" ca="1" si="55"/>
        <v>1960971222.0105603</v>
      </c>
    </row>
    <row r="767" spans="1:5" x14ac:dyDescent="0.3">
      <c r="A767" s="4">
        <v>160</v>
      </c>
      <c r="B767" s="4">
        <f t="shared" ca="1" si="54"/>
        <v>0.36000000000000004</v>
      </c>
      <c r="C767" s="4">
        <f t="shared" ca="1" si="55"/>
        <v>4412185249.5237608</v>
      </c>
    </row>
    <row r="768" spans="1:5" x14ac:dyDescent="0.3">
      <c r="A768" s="4">
        <v>161</v>
      </c>
      <c r="B768" s="4">
        <f t="shared" ca="1" si="54"/>
        <v>0.27999999999999997</v>
      </c>
      <c r="C768" s="4">
        <f t="shared" ca="1" si="55"/>
        <v>3431699638.5184798</v>
      </c>
    </row>
    <row r="769" spans="1:5" x14ac:dyDescent="0.3">
      <c r="A769" s="4">
        <v>162</v>
      </c>
      <c r="B769" s="4">
        <f t="shared" ca="1" si="54"/>
        <v>0.36000000000000004</v>
      </c>
      <c r="C769" s="4">
        <f t="shared" ca="1" si="55"/>
        <v>4412185249.5237608</v>
      </c>
    </row>
    <row r="770" spans="1:5" x14ac:dyDescent="0.3">
      <c r="A770" s="4">
        <v>163</v>
      </c>
      <c r="B770" s="4">
        <f t="shared" ca="1" si="54"/>
        <v>0.12</v>
      </c>
      <c r="C770" s="4">
        <f t="shared" ca="1" si="55"/>
        <v>1470728416.50792</v>
      </c>
      <c r="D770" s="2"/>
      <c r="E770" s="2"/>
    </row>
    <row r="771" spans="1:5" x14ac:dyDescent="0.3">
      <c r="A771" s="4">
        <v>164</v>
      </c>
      <c r="B771" s="4">
        <f t="shared" ca="1" si="54"/>
        <v>0.12</v>
      </c>
      <c r="C771" s="4">
        <f t="shared" ca="1" si="55"/>
        <v>1470728416.50792</v>
      </c>
    </row>
    <row r="772" spans="1:5" x14ac:dyDescent="0.3">
      <c r="A772" s="4">
        <v>165</v>
      </c>
      <c r="B772" s="4">
        <f t="shared" ca="1" si="54"/>
        <v>0.12</v>
      </c>
      <c r="C772" s="4">
        <f t="shared" ca="1" si="55"/>
        <v>1470728416.50792</v>
      </c>
    </row>
    <row r="773" spans="1:5" x14ac:dyDescent="0.3">
      <c r="A773" s="4">
        <v>166</v>
      </c>
      <c r="B773" s="4">
        <f t="shared" ca="1" si="54"/>
        <v>0.27999999999999997</v>
      </c>
      <c r="C773" s="4">
        <f t="shared" ca="1" si="55"/>
        <v>3431699638.5184798</v>
      </c>
      <c r="D773" s="2"/>
      <c r="E773" s="2"/>
    </row>
    <row r="774" spans="1:5" x14ac:dyDescent="0.3">
      <c r="A774" s="4">
        <v>167</v>
      </c>
      <c r="B774" s="4">
        <f t="shared" ca="1" si="54"/>
        <v>0.27999999999999997</v>
      </c>
      <c r="C774" s="4">
        <f t="shared" ca="1" si="55"/>
        <v>3431699638.5184798</v>
      </c>
    </row>
    <row r="775" spans="1:5" x14ac:dyDescent="0.3">
      <c r="A775" s="4">
        <v>168</v>
      </c>
      <c r="B775" s="4">
        <f t="shared" ca="1" si="54"/>
        <v>0.12</v>
      </c>
      <c r="C775" s="4">
        <f t="shared" ca="1" si="55"/>
        <v>1470728416.50792</v>
      </c>
      <c r="D775" s="2"/>
      <c r="E775" s="2"/>
    </row>
    <row r="776" spans="1:5" x14ac:dyDescent="0.3">
      <c r="A776" s="4">
        <v>169</v>
      </c>
      <c r="B776" s="4">
        <f t="shared" ca="1" si="54"/>
        <v>0.16000000000000003</v>
      </c>
      <c r="C776" s="4">
        <f t="shared" ca="1" si="55"/>
        <v>1960971222.0105603</v>
      </c>
    </row>
    <row r="777" spans="1:5" x14ac:dyDescent="0.3">
      <c r="A777" s="4">
        <v>170</v>
      </c>
      <c r="B777" s="4">
        <f t="shared" ca="1" si="54"/>
        <v>0.36000000000000004</v>
      </c>
      <c r="C777" s="4">
        <f t="shared" ca="1" si="55"/>
        <v>4412185249.5237608</v>
      </c>
    </row>
    <row r="778" spans="1:5" x14ac:dyDescent="0.3">
      <c r="A778" s="4">
        <v>171</v>
      </c>
      <c r="B778" s="4">
        <f t="shared" ca="1" si="54"/>
        <v>0.24</v>
      </c>
      <c r="C778" s="4">
        <f t="shared" ca="1" si="55"/>
        <v>2941456833.0158401</v>
      </c>
    </row>
    <row r="779" spans="1:5" x14ac:dyDescent="0.3">
      <c r="A779" s="4">
        <v>172</v>
      </c>
      <c r="B779" s="4">
        <f t="shared" ca="1" si="54"/>
        <v>0.27999999999999997</v>
      </c>
      <c r="C779" s="4">
        <f t="shared" ca="1" si="55"/>
        <v>3431699638.5184798</v>
      </c>
    </row>
    <row r="780" spans="1:5" x14ac:dyDescent="0.3">
      <c r="A780" s="4">
        <v>173</v>
      </c>
      <c r="B780" s="4">
        <f t="shared" ca="1" si="54"/>
        <v>0.36000000000000004</v>
      </c>
      <c r="C780" s="4">
        <f t="shared" ca="1" si="55"/>
        <v>4412185249.5237608</v>
      </c>
      <c r="D780" s="2"/>
      <c r="E780" s="2"/>
    </row>
    <row r="781" spans="1:5" x14ac:dyDescent="0.3">
      <c r="A781" s="4">
        <v>174</v>
      </c>
      <c r="B781" s="4">
        <f t="shared" ca="1" si="54"/>
        <v>0.12</v>
      </c>
      <c r="C781" s="4">
        <f t="shared" ca="1" si="55"/>
        <v>1470728416.50792</v>
      </c>
    </row>
    <row r="782" spans="1:5" x14ac:dyDescent="0.3">
      <c r="A782" s="4">
        <v>175</v>
      </c>
      <c r="B782" s="4">
        <f t="shared" ca="1" si="54"/>
        <v>4.0000000000000008E-2</v>
      </c>
      <c r="C782" s="4">
        <f t="shared" ca="1" si="55"/>
        <v>490242805.50264007</v>
      </c>
    </row>
    <row r="783" spans="1:5" x14ac:dyDescent="0.3">
      <c r="A783" s="4">
        <v>176</v>
      </c>
      <c r="B783" s="4">
        <f t="shared" ca="1" si="54"/>
        <v>8.0000000000000016E-2</v>
      </c>
      <c r="C783" s="4">
        <f t="shared" ca="1" si="55"/>
        <v>980485611.00528014</v>
      </c>
      <c r="D783" s="2"/>
      <c r="E783" s="2"/>
    </row>
    <row r="784" spans="1:5" x14ac:dyDescent="0.3">
      <c r="A784" s="4">
        <v>177</v>
      </c>
      <c r="B784" s="4">
        <f t="shared" ca="1" si="54"/>
        <v>0.2</v>
      </c>
      <c r="C784" s="4">
        <f t="shared" ca="1" si="55"/>
        <v>2451214027.5132003</v>
      </c>
    </row>
    <row r="785" spans="1:5" x14ac:dyDescent="0.3">
      <c r="A785" s="4">
        <v>178</v>
      </c>
      <c r="B785" s="4">
        <f t="shared" ca="1" si="54"/>
        <v>0.16000000000000003</v>
      </c>
      <c r="C785" s="4">
        <f t="shared" ca="1" si="55"/>
        <v>1960971222.0105603</v>
      </c>
      <c r="D785" s="2"/>
      <c r="E785" s="2"/>
    </row>
    <row r="786" spans="1:5" x14ac:dyDescent="0.3">
      <c r="A786" s="4">
        <v>179</v>
      </c>
      <c r="B786" s="4">
        <f t="shared" ca="1" si="54"/>
        <v>8.0000000000000016E-2</v>
      </c>
      <c r="C786" s="4">
        <f t="shared" ca="1" si="55"/>
        <v>980485611.00528014</v>
      </c>
    </row>
    <row r="787" spans="1:5" x14ac:dyDescent="0.3">
      <c r="A787" s="4">
        <v>180</v>
      </c>
      <c r="B787" s="4">
        <f t="shared" ca="1" si="54"/>
        <v>0.24</v>
      </c>
      <c r="C787" s="4">
        <f t="shared" ca="1" si="55"/>
        <v>2941456833.0158401</v>
      </c>
    </row>
    <row r="788" spans="1:5" x14ac:dyDescent="0.3">
      <c r="A788" s="4">
        <v>181</v>
      </c>
      <c r="B788" s="4">
        <f t="shared" ca="1" si="54"/>
        <v>0.27999999999999997</v>
      </c>
      <c r="C788" s="4">
        <f t="shared" ca="1" si="55"/>
        <v>3431699638.5184798</v>
      </c>
    </row>
    <row r="789" spans="1:5" x14ac:dyDescent="0.3">
      <c r="A789" s="4">
        <v>182</v>
      </c>
      <c r="B789" s="4">
        <f t="shared" ca="1" si="54"/>
        <v>0.24</v>
      </c>
      <c r="C789" s="4">
        <f t="shared" ca="1" si="55"/>
        <v>2941456833.0158401</v>
      </c>
    </row>
    <row r="790" spans="1:5" x14ac:dyDescent="0.3">
      <c r="A790" s="4">
        <v>183</v>
      </c>
      <c r="B790" s="4">
        <f t="shared" ca="1" si="54"/>
        <v>0.4</v>
      </c>
      <c r="C790" s="4">
        <f t="shared" ca="1" si="55"/>
        <v>4902428055.0264006</v>
      </c>
      <c r="D790" s="2"/>
      <c r="E790" s="2"/>
    </row>
    <row r="791" spans="1:5" x14ac:dyDescent="0.3">
      <c r="A791" s="4">
        <v>184</v>
      </c>
      <c r="B791" s="4">
        <f t="shared" ca="1" si="54"/>
        <v>0.27999999999999997</v>
      </c>
      <c r="C791" s="4">
        <f t="shared" ca="1" si="55"/>
        <v>3431699638.5184798</v>
      </c>
    </row>
    <row r="792" spans="1:5" x14ac:dyDescent="0.3">
      <c r="A792" s="4">
        <v>185</v>
      </c>
      <c r="B792" s="4">
        <f t="shared" ca="1" si="54"/>
        <v>0.36000000000000004</v>
      </c>
      <c r="C792" s="4">
        <f t="shared" ca="1" si="55"/>
        <v>4412185249.5237608</v>
      </c>
    </row>
    <row r="793" spans="1:5" x14ac:dyDescent="0.3">
      <c r="A793" s="4">
        <v>186</v>
      </c>
      <c r="B793" s="4">
        <f t="shared" ca="1" si="54"/>
        <v>0.2</v>
      </c>
      <c r="C793" s="4">
        <f t="shared" ca="1" si="55"/>
        <v>2451214027.5132003</v>
      </c>
      <c r="D793" s="2"/>
      <c r="E793" s="2"/>
    </row>
    <row r="794" spans="1:5" x14ac:dyDescent="0.3">
      <c r="A794" s="4">
        <v>187</v>
      </c>
      <c r="B794" s="4">
        <f t="shared" ca="1" si="54"/>
        <v>0.27999999999999997</v>
      </c>
      <c r="C794" s="4">
        <f t="shared" ca="1" si="55"/>
        <v>3431699638.5184798</v>
      </c>
    </row>
    <row r="795" spans="1:5" x14ac:dyDescent="0.3">
      <c r="A795" s="4">
        <v>188</v>
      </c>
      <c r="B795" s="4">
        <f t="shared" ca="1" si="54"/>
        <v>0.24</v>
      </c>
      <c r="C795" s="4">
        <f t="shared" ca="1" si="55"/>
        <v>2941456833.0158401</v>
      </c>
      <c r="D795" s="2"/>
      <c r="E795" s="2"/>
    </row>
    <row r="796" spans="1:5" x14ac:dyDescent="0.3">
      <c r="A796" s="4">
        <v>189</v>
      </c>
      <c r="B796" s="4">
        <f t="shared" ca="1" si="54"/>
        <v>8.0000000000000016E-2</v>
      </c>
      <c r="C796" s="4">
        <f t="shared" ca="1" si="55"/>
        <v>980485611.00528014</v>
      </c>
    </row>
    <row r="797" spans="1:5" x14ac:dyDescent="0.3">
      <c r="A797" s="4">
        <v>190</v>
      </c>
      <c r="B797" s="4">
        <f t="shared" ca="1" si="54"/>
        <v>0.12</v>
      </c>
      <c r="C797" s="4">
        <f t="shared" ca="1" si="55"/>
        <v>1470728416.50792</v>
      </c>
    </row>
    <row r="798" spans="1:5" x14ac:dyDescent="0.3">
      <c r="A798" s="4">
        <v>191</v>
      </c>
      <c r="B798" s="4">
        <f t="shared" ca="1" si="54"/>
        <v>8.0000000000000016E-2</v>
      </c>
      <c r="C798" s="4">
        <f t="shared" ca="1" si="55"/>
        <v>980485611.00528014</v>
      </c>
    </row>
    <row r="799" spans="1:5" x14ac:dyDescent="0.3">
      <c r="A799" s="4">
        <v>192</v>
      </c>
      <c r="B799" s="4">
        <f t="shared" ca="1" si="54"/>
        <v>8.0000000000000016E-2</v>
      </c>
      <c r="C799" s="4">
        <f t="shared" ca="1" si="55"/>
        <v>980485611.00528014</v>
      </c>
    </row>
    <row r="800" spans="1:5" x14ac:dyDescent="0.3">
      <c r="A800" s="4">
        <v>193</v>
      </c>
      <c r="B800" s="4">
        <f t="shared" ref="B800:B863" ca="1" si="56">ROUND(RAND(),1)*$E$601</f>
        <v>0</v>
      </c>
      <c r="C800" s="4">
        <f t="shared" ref="C800:C863" ca="1" si="57">B800*$E$600</f>
        <v>0</v>
      </c>
      <c r="D800" s="2"/>
      <c r="E800" s="2"/>
    </row>
    <row r="801" spans="1:5" x14ac:dyDescent="0.3">
      <c r="A801" s="4">
        <v>194</v>
      </c>
      <c r="B801" s="4">
        <f t="shared" ca="1" si="56"/>
        <v>0.12</v>
      </c>
      <c r="C801" s="4">
        <f t="shared" ca="1" si="57"/>
        <v>1470728416.50792</v>
      </c>
    </row>
    <row r="802" spans="1:5" x14ac:dyDescent="0.3">
      <c r="A802" s="4">
        <v>195</v>
      </c>
      <c r="B802" s="4">
        <f t="shared" ca="1" si="56"/>
        <v>0.4</v>
      </c>
      <c r="C802" s="4">
        <f t="shared" ca="1" si="57"/>
        <v>4902428055.0264006</v>
      </c>
    </row>
    <row r="803" spans="1:5" x14ac:dyDescent="0.3">
      <c r="A803" s="4">
        <v>196</v>
      </c>
      <c r="B803" s="4">
        <f t="shared" ca="1" si="56"/>
        <v>0.2</v>
      </c>
      <c r="C803" s="4">
        <f t="shared" ca="1" si="57"/>
        <v>2451214027.5132003</v>
      </c>
      <c r="D803" s="2"/>
      <c r="E803" s="2"/>
    </row>
    <row r="804" spans="1:5" x14ac:dyDescent="0.3">
      <c r="A804" s="4">
        <v>197</v>
      </c>
      <c r="B804" s="4">
        <f t="shared" ca="1" si="56"/>
        <v>0.12</v>
      </c>
      <c r="C804" s="4">
        <f t="shared" ca="1" si="57"/>
        <v>1470728416.50792</v>
      </c>
    </row>
    <row r="805" spans="1:5" x14ac:dyDescent="0.3">
      <c r="A805" s="4">
        <v>198</v>
      </c>
      <c r="B805" s="4">
        <f t="shared" ca="1" si="56"/>
        <v>0</v>
      </c>
      <c r="C805" s="4">
        <f t="shared" ca="1" si="57"/>
        <v>0</v>
      </c>
      <c r="D805" s="2"/>
      <c r="E805" s="2"/>
    </row>
    <row r="806" spans="1:5" x14ac:dyDescent="0.3">
      <c r="A806" s="4">
        <v>199</v>
      </c>
      <c r="B806" s="4">
        <f t="shared" ca="1" si="56"/>
        <v>0.16000000000000003</v>
      </c>
      <c r="C806" s="4">
        <f t="shared" ca="1" si="57"/>
        <v>1960971222.0105603</v>
      </c>
    </row>
    <row r="807" spans="1:5" x14ac:dyDescent="0.3">
      <c r="A807" s="4">
        <v>200</v>
      </c>
      <c r="B807" s="4">
        <f t="shared" ca="1" si="56"/>
        <v>4.0000000000000008E-2</v>
      </c>
      <c r="C807" s="4">
        <f t="shared" ca="1" si="57"/>
        <v>490242805.50264007</v>
      </c>
    </row>
    <row r="808" spans="1:5" x14ac:dyDescent="0.3">
      <c r="A808" s="4">
        <v>201</v>
      </c>
      <c r="B808" s="4">
        <f t="shared" ca="1" si="56"/>
        <v>0.32000000000000006</v>
      </c>
      <c r="C808" s="4">
        <f t="shared" ca="1" si="57"/>
        <v>3921942444.0211205</v>
      </c>
    </row>
    <row r="809" spans="1:5" x14ac:dyDescent="0.3">
      <c r="A809" s="4">
        <v>202</v>
      </c>
      <c r="B809" s="4">
        <f t="shared" ca="1" si="56"/>
        <v>0.16000000000000003</v>
      </c>
      <c r="C809" s="4">
        <f t="shared" ca="1" si="57"/>
        <v>1960971222.0105603</v>
      </c>
    </row>
    <row r="810" spans="1:5" x14ac:dyDescent="0.3">
      <c r="A810" s="4">
        <v>203</v>
      </c>
      <c r="B810" s="4">
        <f t="shared" ca="1" si="56"/>
        <v>0.27999999999999997</v>
      </c>
      <c r="C810" s="4">
        <f t="shared" ca="1" si="57"/>
        <v>3431699638.5184798</v>
      </c>
      <c r="D810" s="2"/>
      <c r="E810" s="2"/>
    </row>
    <row r="811" spans="1:5" x14ac:dyDescent="0.3">
      <c r="A811" s="4">
        <v>204</v>
      </c>
      <c r="B811" s="4">
        <f t="shared" ca="1" si="56"/>
        <v>8.0000000000000016E-2</v>
      </c>
      <c r="C811" s="4">
        <f t="shared" ca="1" si="57"/>
        <v>980485611.00528014</v>
      </c>
    </row>
    <row r="812" spans="1:5" x14ac:dyDescent="0.3">
      <c r="A812" s="4">
        <v>205</v>
      </c>
      <c r="B812" s="4">
        <f t="shared" ca="1" si="56"/>
        <v>0.27999999999999997</v>
      </c>
      <c r="C812" s="4">
        <f t="shared" ca="1" si="57"/>
        <v>3431699638.5184798</v>
      </c>
    </row>
    <row r="813" spans="1:5" x14ac:dyDescent="0.3">
      <c r="A813" s="4">
        <v>206</v>
      </c>
      <c r="B813" s="4">
        <f t="shared" ca="1" si="56"/>
        <v>0.27999999999999997</v>
      </c>
      <c r="C813" s="4">
        <f t="shared" ca="1" si="57"/>
        <v>3431699638.5184798</v>
      </c>
      <c r="D813" s="2"/>
      <c r="E813" s="2"/>
    </row>
    <row r="814" spans="1:5" x14ac:dyDescent="0.3">
      <c r="A814" s="4">
        <v>207</v>
      </c>
      <c r="B814" s="4">
        <f t="shared" ca="1" si="56"/>
        <v>0.27999999999999997</v>
      </c>
      <c r="C814" s="4">
        <f t="shared" ca="1" si="57"/>
        <v>3431699638.5184798</v>
      </c>
    </row>
    <row r="815" spans="1:5" x14ac:dyDescent="0.3">
      <c r="A815" s="4">
        <v>208</v>
      </c>
      <c r="B815" s="4">
        <f t="shared" ca="1" si="56"/>
        <v>0.36000000000000004</v>
      </c>
      <c r="C815" s="4">
        <f t="shared" ca="1" si="57"/>
        <v>4412185249.5237608</v>
      </c>
      <c r="D815" s="2"/>
      <c r="E815" s="2"/>
    </row>
    <row r="816" spans="1:5" x14ac:dyDescent="0.3">
      <c r="A816" s="4">
        <v>209</v>
      </c>
      <c r="B816" s="4">
        <f t="shared" ca="1" si="56"/>
        <v>0.16000000000000003</v>
      </c>
      <c r="C816" s="4">
        <f t="shared" ca="1" si="57"/>
        <v>1960971222.0105603</v>
      </c>
    </row>
    <row r="817" spans="1:5" x14ac:dyDescent="0.3">
      <c r="A817" s="4">
        <v>210</v>
      </c>
      <c r="B817" s="4">
        <f t="shared" ca="1" si="56"/>
        <v>0.27999999999999997</v>
      </c>
      <c r="C817" s="4">
        <f t="shared" ca="1" si="57"/>
        <v>3431699638.5184798</v>
      </c>
    </row>
    <row r="818" spans="1:5" x14ac:dyDescent="0.3">
      <c r="A818" s="4">
        <v>211</v>
      </c>
      <c r="B818" s="4">
        <f t="shared" ca="1" si="56"/>
        <v>0.27999999999999997</v>
      </c>
      <c r="C818" s="4">
        <f t="shared" ca="1" si="57"/>
        <v>3431699638.5184798</v>
      </c>
    </row>
    <row r="819" spans="1:5" x14ac:dyDescent="0.3">
      <c r="A819" s="4">
        <v>212</v>
      </c>
      <c r="B819" s="4">
        <f t="shared" ca="1" si="56"/>
        <v>8.0000000000000016E-2</v>
      </c>
      <c r="C819" s="4">
        <f t="shared" ca="1" si="57"/>
        <v>980485611.00528014</v>
      </c>
    </row>
    <row r="820" spans="1:5" x14ac:dyDescent="0.3">
      <c r="A820" s="4">
        <v>213</v>
      </c>
      <c r="B820" s="4">
        <f t="shared" ca="1" si="56"/>
        <v>0.2</v>
      </c>
      <c r="C820" s="4">
        <f t="shared" ca="1" si="57"/>
        <v>2451214027.5132003</v>
      </c>
      <c r="D820" s="2"/>
      <c r="E820" s="2"/>
    </row>
    <row r="821" spans="1:5" x14ac:dyDescent="0.3">
      <c r="A821" s="4">
        <v>214</v>
      </c>
      <c r="B821" s="4">
        <f t="shared" ca="1" si="56"/>
        <v>0.16000000000000003</v>
      </c>
      <c r="C821" s="4">
        <f t="shared" ca="1" si="57"/>
        <v>1960971222.0105603</v>
      </c>
    </row>
    <row r="822" spans="1:5" x14ac:dyDescent="0.3">
      <c r="A822" s="4">
        <v>215</v>
      </c>
      <c r="B822" s="4">
        <f t="shared" ca="1" si="56"/>
        <v>0.32000000000000006</v>
      </c>
      <c r="C822" s="4">
        <f t="shared" ca="1" si="57"/>
        <v>3921942444.0211205</v>
      </c>
    </row>
    <row r="823" spans="1:5" x14ac:dyDescent="0.3">
      <c r="A823" s="4">
        <v>216</v>
      </c>
      <c r="B823" s="4">
        <f t="shared" ca="1" si="56"/>
        <v>0.12</v>
      </c>
      <c r="C823" s="4">
        <f t="shared" ca="1" si="57"/>
        <v>1470728416.50792</v>
      </c>
      <c r="D823" s="2"/>
      <c r="E823" s="2"/>
    </row>
    <row r="824" spans="1:5" x14ac:dyDescent="0.3">
      <c r="A824" s="4">
        <v>217</v>
      </c>
      <c r="B824" s="4">
        <f t="shared" ca="1" si="56"/>
        <v>0.2</v>
      </c>
      <c r="C824" s="4">
        <f t="shared" ca="1" si="57"/>
        <v>2451214027.5132003</v>
      </c>
    </row>
    <row r="825" spans="1:5" x14ac:dyDescent="0.3">
      <c r="A825" s="4">
        <v>218</v>
      </c>
      <c r="B825" s="4">
        <f t="shared" ca="1" si="56"/>
        <v>8.0000000000000016E-2</v>
      </c>
      <c r="C825" s="4">
        <f t="shared" ca="1" si="57"/>
        <v>980485611.00528014</v>
      </c>
      <c r="D825" s="2"/>
      <c r="E825" s="2"/>
    </row>
    <row r="826" spans="1:5" x14ac:dyDescent="0.3">
      <c r="A826" s="4">
        <v>219</v>
      </c>
      <c r="B826" s="4">
        <f t="shared" ca="1" si="56"/>
        <v>0.12</v>
      </c>
      <c r="C826" s="4">
        <f t="shared" ca="1" si="57"/>
        <v>1470728416.50792</v>
      </c>
    </row>
    <row r="827" spans="1:5" x14ac:dyDescent="0.3">
      <c r="A827" s="4">
        <v>220</v>
      </c>
      <c r="B827" s="4">
        <f t="shared" ca="1" si="56"/>
        <v>0.2</v>
      </c>
      <c r="C827" s="4">
        <f t="shared" ca="1" si="57"/>
        <v>2451214027.5132003</v>
      </c>
    </row>
    <row r="828" spans="1:5" x14ac:dyDescent="0.3">
      <c r="A828" s="4">
        <v>221</v>
      </c>
      <c r="B828" s="4">
        <f t="shared" ca="1" si="56"/>
        <v>0.32000000000000006</v>
      </c>
      <c r="C828" s="4">
        <f t="shared" ca="1" si="57"/>
        <v>3921942444.0211205</v>
      </c>
    </row>
    <row r="829" spans="1:5" x14ac:dyDescent="0.3">
      <c r="A829" s="4">
        <v>222</v>
      </c>
      <c r="B829" s="4">
        <f t="shared" ca="1" si="56"/>
        <v>0.24</v>
      </c>
      <c r="C829" s="4">
        <f t="shared" ca="1" si="57"/>
        <v>2941456833.0158401</v>
      </c>
    </row>
    <row r="830" spans="1:5" x14ac:dyDescent="0.3">
      <c r="A830" s="4">
        <v>223</v>
      </c>
      <c r="B830" s="4">
        <f t="shared" ca="1" si="56"/>
        <v>0.24</v>
      </c>
      <c r="C830" s="4">
        <f t="shared" ca="1" si="57"/>
        <v>2941456833.0158401</v>
      </c>
      <c r="D830" s="2"/>
      <c r="E830" s="2"/>
    </row>
    <row r="831" spans="1:5" x14ac:dyDescent="0.3">
      <c r="A831" s="4">
        <v>224</v>
      </c>
      <c r="B831" s="4">
        <f t="shared" ca="1" si="56"/>
        <v>0.24</v>
      </c>
      <c r="C831" s="4">
        <f t="shared" ca="1" si="57"/>
        <v>2941456833.0158401</v>
      </c>
    </row>
    <row r="832" spans="1:5" x14ac:dyDescent="0.3">
      <c r="A832" s="4">
        <v>225</v>
      </c>
      <c r="B832" s="4">
        <f t="shared" ca="1" si="56"/>
        <v>8.0000000000000016E-2</v>
      </c>
      <c r="C832" s="4">
        <f t="shared" ca="1" si="57"/>
        <v>980485611.00528014</v>
      </c>
    </row>
    <row r="833" spans="1:5" x14ac:dyDescent="0.3">
      <c r="A833" s="4">
        <v>226</v>
      </c>
      <c r="B833" s="4">
        <f t="shared" ca="1" si="56"/>
        <v>0.2</v>
      </c>
      <c r="C833" s="4">
        <f t="shared" ca="1" si="57"/>
        <v>2451214027.5132003</v>
      </c>
      <c r="D833" s="2"/>
      <c r="E833" s="2"/>
    </row>
    <row r="834" spans="1:5" x14ac:dyDescent="0.3">
      <c r="A834" s="4">
        <v>227</v>
      </c>
      <c r="B834" s="4">
        <f t="shared" ca="1" si="56"/>
        <v>0.27999999999999997</v>
      </c>
      <c r="C834" s="4">
        <f t="shared" ca="1" si="57"/>
        <v>3431699638.5184798</v>
      </c>
    </row>
    <row r="835" spans="1:5" x14ac:dyDescent="0.3">
      <c r="A835" s="4">
        <v>228</v>
      </c>
      <c r="B835" s="4">
        <f t="shared" ca="1" si="56"/>
        <v>0.32000000000000006</v>
      </c>
      <c r="C835" s="4">
        <f t="shared" ca="1" si="57"/>
        <v>3921942444.0211205</v>
      </c>
      <c r="D835" s="2"/>
      <c r="E835" s="2"/>
    </row>
    <row r="836" spans="1:5" x14ac:dyDescent="0.3">
      <c r="A836" s="4">
        <v>229</v>
      </c>
      <c r="B836" s="4">
        <f t="shared" ca="1" si="56"/>
        <v>0.16000000000000003</v>
      </c>
      <c r="C836" s="4">
        <f t="shared" ca="1" si="57"/>
        <v>1960971222.0105603</v>
      </c>
    </row>
    <row r="837" spans="1:5" x14ac:dyDescent="0.3">
      <c r="A837" s="4">
        <v>230</v>
      </c>
      <c r="B837" s="4">
        <f t="shared" ca="1" si="56"/>
        <v>0.27999999999999997</v>
      </c>
      <c r="C837" s="4">
        <f t="shared" ca="1" si="57"/>
        <v>3431699638.5184798</v>
      </c>
    </row>
    <row r="838" spans="1:5" x14ac:dyDescent="0.3">
      <c r="A838" s="4">
        <v>231</v>
      </c>
      <c r="B838" s="4">
        <f t="shared" ca="1" si="56"/>
        <v>0.24</v>
      </c>
      <c r="C838" s="4">
        <f t="shared" ca="1" si="57"/>
        <v>2941456833.0158401</v>
      </c>
    </row>
    <row r="839" spans="1:5" x14ac:dyDescent="0.3">
      <c r="A839" s="4">
        <v>232</v>
      </c>
      <c r="B839" s="4">
        <f t="shared" ca="1" si="56"/>
        <v>8.0000000000000016E-2</v>
      </c>
      <c r="C839" s="4">
        <f t="shared" ca="1" si="57"/>
        <v>980485611.00528014</v>
      </c>
    </row>
    <row r="840" spans="1:5" x14ac:dyDescent="0.3">
      <c r="A840" s="4">
        <v>233</v>
      </c>
      <c r="B840" s="4">
        <f t="shared" ca="1" si="56"/>
        <v>8.0000000000000016E-2</v>
      </c>
      <c r="C840" s="4">
        <f t="shared" ca="1" si="57"/>
        <v>980485611.00528014</v>
      </c>
      <c r="D840" s="2"/>
      <c r="E840" s="2"/>
    </row>
    <row r="841" spans="1:5" x14ac:dyDescent="0.3">
      <c r="A841" s="4">
        <v>234</v>
      </c>
      <c r="B841" s="4">
        <f t="shared" ca="1" si="56"/>
        <v>0.32000000000000006</v>
      </c>
      <c r="C841" s="4">
        <f t="shared" ca="1" si="57"/>
        <v>3921942444.0211205</v>
      </c>
    </row>
    <row r="842" spans="1:5" x14ac:dyDescent="0.3">
      <c r="A842" s="4">
        <v>235</v>
      </c>
      <c r="B842" s="4">
        <f t="shared" ca="1" si="56"/>
        <v>8.0000000000000016E-2</v>
      </c>
      <c r="C842" s="4">
        <f t="shared" ca="1" si="57"/>
        <v>980485611.00528014</v>
      </c>
    </row>
    <row r="843" spans="1:5" x14ac:dyDescent="0.3">
      <c r="A843" s="4">
        <v>236</v>
      </c>
      <c r="B843" s="4">
        <f t="shared" ca="1" si="56"/>
        <v>0.24</v>
      </c>
      <c r="C843" s="4">
        <f t="shared" ca="1" si="57"/>
        <v>2941456833.0158401</v>
      </c>
      <c r="D843" s="2"/>
      <c r="E843" s="2"/>
    </row>
    <row r="844" spans="1:5" x14ac:dyDescent="0.3">
      <c r="A844" s="4">
        <v>237</v>
      </c>
      <c r="B844" s="4">
        <f t="shared" ca="1" si="56"/>
        <v>0.12</v>
      </c>
      <c r="C844" s="4">
        <f t="shared" ca="1" si="57"/>
        <v>1470728416.50792</v>
      </c>
    </row>
    <row r="845" spans="1:5" x14ac:dyDescent="0.3">
      <c r="A845" s="4">
        <v>238</v>
      </c>
      <c r="B845" s="4">
        <f t="shared" ca="1" si="56"/>
        <v>0.2</v>
      </c>
      <c r="C845" s="4">
        <f t="shared" ca="1" si="57"/>
        <v>2451214027.5132003</v>
      </c>
      <c r="D845" s="2"/>
      <c r="E845" s="2"/>
    </row>
    <row r="846" spans="1:5" x14ac:dyDescent="0.3">
      <c r="A846" s="4">
        <v>239</v>
      </c>
      <c r="B846" s="4">
        <f t="shared" ca="1" si="56"/>
        <v>0.27999999999999997</v>
      </c>
      <c r="C846" s="4">
        <f t="shared" ca="1" si="57"/>
        <v>3431699638.5184798</v>
      </c>
    </row>
    <row r="847" spans="1:5" x14ac:dyDescent="0.3">
      <c r="A847" s="4">
        <v>240</v>
      </c>
      <c r="B847" s="4">
        <f t="shared" ca="1" si="56"/>
        <v>0.4</v>
      </c>
      <c r="C847" s="4">
        <f t="shared" ca="1" si="57"/>
        <v>4902428055.0264006</v>
      </c>
    </row>
    <row r="848" spans="1:5" x14ac:dyDescent="0.3">
      <c r="A848" s="4">
        <v>241</v>
      </c>
      <c r="B848" s="4">
        <f t="shared" ca="1" si="56"/>
        <v>0.2</v>
      </c>
      <c r="C848" s="4">
        <f t="shared" ca="1" si="57"/>
        <v>2451214027.5132003</v>
      </c>
    </row>
    <row r="849" spans="1:5" x14ac:dyDescent="0.3">
      <c r="A849" s="4">
        <v>242</v>
      </c>
      <c r="B849" s="4">
        <f t="shared" ca="1" si="56"/>
        <v>0.16000000000000003</v>
      </c>
      <c r="C849" s="4">
        <f t="shared" ca="1" si="57"/>
        <v>1960971222.0105603</v>
      </c>
    </row>
    <row r="850" spans="1:5" x14ac:dyDescent="0.3">
      <c r="A850" s="4">
        <v>243</v>
      </c>
      <c r="B850" s="4">
        <f t="shared" ca="1" si="56"/>
        <v>0.36000000000000004</v>
      </c>
      <c r="C850" s="4">
        <f t="shared" ca="1" si="57"/>
        <v>4412185249.5237608</v>
      </c>
      <c r="D850" s="2"/>
      <c r="E850" s="2"/>
    </row>
    <row r="851" spans="1:5" x14ac:dyDescent="0.3">
      <c r="A851" s="4">
        <v>244</v>
      </c>
      <c r="B851" s="4">
        <f t="shared" ca="1" si="56"/>
        <v>0.32000000000000006</v>
      </c>
      <c r="C851" s="4">
        <f t="shared" ca="1" si="57"/>
        <v>3921942444.0211205</v>
      </c>
    </row>
    <row r="852" spans="1:5" x14ac:dyDescent="0.3">
      <c r="A852" s="4">
        <v>245</v>
      </c>
      <c r="B852" s="4">
        <f t="shared" ca="1" si="56"/>
        <v>0.16000000000000003</v>
      </c>
      <c r="C852" s="4">
        <f t="shared" ca="1" si="57"/>
        <v>1960971222.0105603</v>
      </c>
    </row>
    <row r="853" spans="1:5" x14ac:dyDescent="0.3">
      <c r="A853" s="4">
        <v>246</v>
      </c>
      <c r="B853" s="4">
        <f t="shared" ca="1" si="56"/>
        <v>0.27999999999999997</v>
      </c>
      <c r="C853" s="4">
        <f t="shared" ca="1" si="57"/>
        <v>3431699638.5184798</v>
      </c>
      <c r="D853" s="2"/>
      <c r="E853" s="2"/>
    </row>
    <row r="854" spans="1:5" x14ac:dyDescent="0.3">
      <c r="A854" s="4">
        <v>247</v>
      </c>
      <c r="B854" s="4">
        <f t="shared" ca="1" si="56"/>
        <v>0.2</v>
      </c>
      <c r="C854" s="4">
        <f t="shared" ca="1" si="57"/>
        <v>2451214027.5132003</v>
      </c>
    </row>
    <row r="855" spans="1:5" x14ac:dyDescent="0.3">
      <c r="A855" s="4">
        <v>248</v>
      </c>
      <c r="B855" s="4">
        <f t="shared" ca="1" si="56"/>
        <v>0.2</v>
      </c>
      <c r="C855" s="4">
        <f t="shared" ca="1" si="57"/>
        <v>2451214027.5132003</v>
      </c>
      <c r="D855" s="2"/>
      <c r="E855" s="2"/>
    </row>
    <row r="856" spans="1:5" x14ac:dyDescent="0.3">
      <c r="A856" s="4">
        <v>249</v>
      </c>
      <c r="B856" s="4">
        <f t="shared" ca="1" si="56"/>
        <v>0.12</v>
      </c>
      <c r="C856" s="4">
        <f t="shared" ca="1" si="57"/>
        <v>1470728416.50792</v>
      </c>
    </row>
    <row r="857" spans="1:5" x14ac:dyDescent="0.3">
      <c r="A857" s="4">
        <v>250</v>
      </c>
      <c r="B857" s="4">
        <f t="shared" ca="1" si="56"/>
        <v>0.24</v>
      </c>
      <c r="C857" s="4">
        <f t="shared" ca="1" si="57"/>
        <v>2941456833.0158401</v>
      </c>
    </row>
    <row r="858" spans="1:5" x14ac:dyDescent="0.3">
      <c r="A858" s="4">
        <v>251</v>
      </c>
      <c r="B858" s="4">
        <f t="shared" ca="1" si="56"/>
        <v>0.2</v>
      </c>
      <c r="C858" s="4">
        <f t="shared" ca="1" si="57"/>
        <v>2451214027.5132003</v>
      </c>
    </row>
    <row r="859" spans="1:5" x14ac:dyDescent="0.3">
      <c r="A859" s="4">
        <v>252</v>
      </c>
      <c r="B859" s="4">
        <f t="shared" ca="1" si="56"/>
        <v>4.0000000000000008E-2</v>
      </c>
      <c r="C859" s="4">
        <f t="shared" ca="1" si="57"/>
        <v>490242805.50264007</v>
      </c>
    </row>
    <row r="860" spans="1:5" x14ac:dyDescent="0.3">
      <c r="A860" s="4">
        <v>253</v>
      </c>
      <c r="B860" s="4">
        <f t="shared" ca="1" si="56"/>
        <v>0.36000000000000004</v>
      </c>
      <c r="C860" s="4">
        <f t="shared" ca="1" si="57"/>
        <v>4412185249.5237608</v>
      </c>
      <c r="D860" s="2"/>
      <c r="E860" s="2"/>
    </row>
    <row r="861" spans="1:5" x14ac:dyDescent="0.3">
      <c r="A861" s="4">
        <v>254</v>
      </c>
      <c r="B861" s="4">
        <f t="shared" ca="1" si="56"/>
        <v>0.16000000000000003</v>
      </c>
      <c r="C861" s="4">
        <f t="shared" ca="1" si="57"/>
        <v>1960971222.0105603</v>
      </c>
    </row>
    <row r="862" spans="1:5" x14ac:dyDescent="0.3">
      <c r="A862" s="4">
        <v>255</v>
      </c>
      <c r="B862" s="4">
        <f t="shared" ca="1" si="56"/>
        <v>0.2</v>
      </c>
      <c r="C862" s="4">
        <f t="shared" ca="1" si="57"/>
        <v>2451214027.5132003</v>
      </c>
    </row>
    <row r="863" spans="1:5" x14ac:dyDescent="0.3">
      <c r="A863" s="4">
        <v>256</v>
      </c>
      <c r="B863" s="4">
        <f t="shared" ca="1" si="56"/>
        <v>0.2</v>
      </c>
      <c r="C863" s="4">
        <f t="shared" ca="1" si="57"/>
        <v>2451214027.5132003</v>
      </c>
      <c r="D863" s="2"/>
      <c r="E863" s="2"/>
    </row>
    <row r="864" spans="1:5" x14ac:dyDescent="0.3">
      <c r="A864" s="4">
        <v>257</v>
      </c>
      <c r="B864" s="4">
        <f t="shared" ref="B864:B927" ca="1" si="58">ROUND(RAND(),1)*$E$601</f>
        <v>0.32000000000000006</v>
      </c>
      <c r="C864" s="4">
        <f t="shared" ref="C864:C927" ca="1" si="59">B864*$E$600</f>
        <v>3921942444.0211205</v>
      </c>
    </row>
    <row r="865" spans="1:5" x14ac:dyDescent="0.3">
      <c r="A865" s="4">
        <v>258</v>
      </c>
      <c r="B865" s="4">
        <f t="shared" ca="1" si="58"/>
        <v>0.36000000000000004</v>
      </c>
      <c r="C865" s="4">
        <f t="shared" ca="1" si="59"/>
        <v>4412185249.5237608</v>
      </c>
      <c r="D865" s="2"/>
      <c r="E865" s="2"/>
    </row>
    <row r="866" spans="1:5" x14ac:dyDescent="0.3">
      <c r="A866" s="4">
        <v>259</v>
      </c>
      <c r="B866" s="4">
        <f t="shared" ca="1" si="58"/>
        <v>0</v>
      </c>
      <c r="C866" s="4">
        <f t="shared" ca="1" si="59"/>
        <v>0</v>
      </c>
    </row>
    <row r="867" spans="1:5" x14ac:dyDescent="0.3">
      <c r="A867" s="4">
        <v>260</v>
      </c>
      <c r="B867" s="4">
        <f t="shared" ca="1" si="58"/>
        <v>0.16000000000000003</v>
      </c>
      <c r="C867" s="4">
        <f t="shared" ca="1" si="59"/>
        <v>1960971222.0105603</v>
      </c>
    </row>
    <row r="868" spans="1:5" x14ac:dyDescent="0.3">
      <c r="A868" s="4">
        <v>261</v>
      </c>
      <c r="B868" s="4">
        <f t="shared" ca="1" si="58"/>
        <v>0.32000000000000006</v>
      </c>
      <c r="C868" s="4">
        <f t="shared" ca="1" si="59"/>
        <v>3921942444.0211205</v>
      </c>
    </row>
    <row r="869" spans="1:5" x14ac:dyDescent="0.3">
      <c r="A869" s="4">
        <v>262</v>
      </c>
      <c r="B869" s="4">
        <f t="shared" ca="1" si="58"/>
        <v>0</v>
      </c>
      <c r="C869" s="4">
        <f t="shared" ca="1" si="59"/>
        <v>0</v>
      </c>
    </row>
    <row r="870" spans="1:5" x14ac:dyDescent="0.3">
      <c r="A870" s="4">
        <v>263</v>
      </c>
      <c r="B870" s="4">
        <f t="shared" ca="1" si="58"/>
        <v>0.32000000000000006</v>
      </c>
      <c r="C870" s="4">
        <f t="shared" ca="1" si="59"/>
        <v>3921942444.0211205</v>
      </c>
      <c r="D870" s="2"/>
      <c r="E870" s="2"/>
    </row>
    <row r="871" spans="1:5" x14ac:dyDescent="0.3">
      <c r="A871" s="4">
        <v>264</v>
      </c>
      <c r="B871" s="4">
        <f t="shared" ca="1" si="58"/>
        <v>0</v>
      </c>
      <c r="C871" s="4">
        <f t="shared" ca="1" si="59"/>
        <v>0</v>
      </c>
    </row>
    <row r="872" spans="1:5" x14ac:dyDescent="0.3">
      <c r="A872" s="4">
        <v>265</v>
      </c>
      <c r="B872" s="4">
        <f t="shared" ca="1" si="58"/>
        <v>0.36000000000000004</v>
      </c>
      <c r="C872" s="4">
        <f t="shared" ca="1" si="59"/>
        <v>4412185249.5237608</v>
      </c>
    </row>
    <row r="873" spans="1:5" x14ac:dyDescent="0.3">
      <c r="A873" s="4">
        <v>266</v>
      </c>
      <c r="B873" s="4">
        <f t="shared" ca="1" si="58"/>
        <v>0.12</v>
      </c>
      <c r="C873" s="4">
        <f t="shared" ca="1" si="59"/>
        <v>1470728416.50792</v>
      </c>
      <c r="D873" s="2"/>
      <c r="E873" s="2"/>
    </row>
    <row r="874" spans="1:5" x14ac:dyDescent="0.3">
      <c r="A874" s="4">
        <v>267</v>
      </c>
      <c r="B874" s="4">
        <f t="shared" ca="1" si="58"/>
        <v>0.27999999999999997</v>
      </c>
      <c r="C874" s="4">
        <f t="shared" ca="1" si="59"/>
        <v>3431699638.5184798</v>
      </c>
    </row>
    <row r="875" spans="1:5" x14ac:dyDescent="0.3">
      <c r="A875" s="4">
        <v>268</v>
      </c>
      <c r="B875" s="4">
        <f t="shared" ca="1" si="58"/>
        <v>4.0000000000000008E-2</v>
      </c>
      <c r="C875" s="4">
        <f t="shared" ca="1" si="59"/>
        <v>490242805.50264007</v>
      </c>
      <c r="D875" s="2"/>
      <c r="E875" s="2"/>
    </row>
    <row r="876" spans="1:5" x14ac:dyDescent="0.3">
      <c r="A876" s="4">
        <v>269</v>
      </c>
      <c r="B876" s="4">
        <f t="shared" ca="1" si="58"/>
        <v>0</v>
      </c>
      <c r="C876" s="4">
        <f t="shared" ca="1" si="59"/>
        <v>0</v>
      </c>
    </row>
    <row r="877" spans="1:5" x14ac:dyDescent="0.3">
      <c r="A877" s="4">
        <v>270</v>
      </c>
      <c r="B877" s="4">
        <f t="shared" ca="1" si="58"/>
        <v>4.0000000000000008E-2</v>
      </c>
      <c r="C877" s="4">
        <f t="shared" ca="1" si="59"/>
        <v>490242805.50264007</v>
      </c>
    </row>
    <row r="878" spans="1:5" x14ac:dyDescent="0.3">
      <c r="A878" s="4">
        <v>271</v>
      </c>
      <c r="B878" s="4">
        <f t="shared" ca="1" si="58"/>
        <v>0.24</v>
      </c>
      <c r="C878" s="4">
        <f t="shared" ca="1" si="59"/>
        <v>2941456833.0158401</v>
      </c>
    </row>
    <row r="879" spans="1:5" x14ac:dyDescent="0.3">
      <c r="A879" s="4">
        <v>272</v>
      </c>
      <c r="B879" s="4">
        <f t="shared" ca="1" si="58"/>
        <v>0</v>
      </c>
      <c r="C879" s="4">
        <f t="shared" ca="1" si="59"/>
        <v>0</v>
      </c>
    </row>
    <row r="880" spans="1:5" x14ac:dyDescent="0.3">
      <c r="A880" s="4">
        <v>273</v>
      </c>
      <c r="B880" s="4">
        <f t="shared" ca="1" si="58"/>
        <v>0.16000000000000003</v>
      </c>
      <c r="C880" s="4">
        <f t="shared" ca="1" si="59"/>
        <v>1960971222.0105603</v>
      </c>
      <c r="D880" s="2"/>
      <c r="E880" s="2"/>
    </row>
    <row r="881" spans="1:5" x14ac:dyDescent="0.3">
      <c r="A881" s="4">
        <v>274</v>
      </c>
      <c r="B881" s="4">
        <f t="shared" ca="1" si="58"/>
        <v>4.0000000000000008E-2</v>
      </c>
      <c r="C881" s="4">
        <f t="shared" ca="1" si="59"/>
        <v>490242805.50264007</v>
      </c>
    </row>
    <row r="882" spans="1:5" x14ac:dyDescent="0.3">
      <c r="A882" s="4">
        <v>275</v>
      </c>
      <c r="B882" s="4">
        <f t="shared" ca="1" si="58"/>
        <v>0.32000000000000006</v>
      </c>
      <c r="C882" s="4">
        <f t="shared" ca="1" si="59"/>
        <v>3921942444.0211205</v>
      </c>
    </row>
    <row r="883" spans="1:5" x14ac:dyDescent="0.3">
      <c r="A883" s="4">
        <v>276</v>
      </c>
      <c r="B883" s="4">
        <f t="shared" ca="1" si="58"/>
        <v>0.32000000000000006</v>
      </c>
      <c r="C883" s="4">
        <f t="shared" ca="1" si="59"/>
        <v>3921942444.0211205</v>
      </c>
      <c r="D883" s="2"/>
      <c r="E883" s="2"/>
    </row>
    <row r="884" spans="1:5" x14ac:dyDescent="0.3">
      <c r="A884" s="4">
        <v>277</v>
      </c>
      <c r="B884" s="4">
        <f t="shared" ca="1" si="58"/>
        <v>8.0000000000000016E-2</v>
      </c>
      <c r="C884" s="4">
        <f t="shared" ca="1" si="59"/>
        <v>980485611.00528014</v>
      </c>
    </row>
    <row r="885" spans="1:5" x14ac:dyDescent="0.3">
      <c r="A885" s="4">
        <v>278</v>
      </c>
      <c r="B885" s="4">
        <f t="shared" ca="1" si="58"/>
        <v>0.24</v>
      </c>
      <c r="C885" s="4">
        <f t="shared" ca="1" si="59"/>
        <v>2941456833.0158401</v>
      </c>
      <c r="D885" s="2"/>
      <c r="E885" s="2"/>
    </row>
    <row r="886" spans="1:5" x14ac:dyDescent="0.3">
      <c r="A886" s="4">
        <v>279</v>
      </c>
      <c r="B886" s="4">
        <f t="shared" ca="1" si="58"/>
        <v>0.24</v>
      </c>
      <c r="C886" s="4">
        <f t="shared" ca="1" si="59"/>
        <v>2941456833.0158401</v>
      </c>
    </row>
    <row r="887" spans="1:5" x14ac:dyDescent="0.3">
      <c r="A887" s="4">
        <v>280</v>
      </c>
      <c r="B887" s="4">
        <f t="shared" ca="1" si="58"/>
        <v>4.0000000000000008E-2</v>
      </c>
      <c r="C887" s="4">
        <f t="shared" ca="1" si="59"/>
        <v>490242805.50264007</v>
      </c>
    </row>
    <row r="888" spans="1:5" x14ac:dyDescent="0.3">
      <c r="A888" s="4">
        <v>281</v>
      </c>
      <c r="B888" s="4">
        <f t="shared" ca="1" si="58"/>
        <v>4.0000000000000008E-2</v>
      </c>
      <c r="C888" s="4">
        <f t="shared" ca="1" si="59"/>
        <v>490242805.50264007</v>
      </c>
    </row>
    <row r="889" spans="1:5" x14ac:dyDescent="0.3">
      <c r="A889" s="4">
        <v>282</v>
      </c>
      <c r="B889" s="4">
        <f t="shared" ca="1" si="58"/>
        <v>0.2</v>
      </c>
      <c r="C889" s="4">
        <f t="shared" ca="1" si="59"/>
        <v>2451214027.5132003</v>
      </c>
    </row>
    <row r="890" spans="1:5" x14ac:dyDescent="0.3">
      <c r="A890" s="4">
        <v>283</v>
      </c>
      <c r="B890" s="4">
        <f t="shared" ca="1" si="58"/>
        <v>4.0000000000000008E-2</v>
      </c>
      <c r="C890" s="4">
        <f t="shared" ca="1" si="59"/>
        <v>490242805.50264007</v>
      </c>
      <c r="D890" s="2"/>
      <c r="E890" s="2"/>
    </row>
    <row r="891" spans="1:5" x14ac:dyDescent="0.3">
      <c r="A891" s="4">
        <v>284</v>
      </c>
      <c r="B891" s="4">
        <f t="shared" ca="1" si="58"/>
        <v>0.2</v>
      </c>
      <c r="C891" s="4">
        <f t="shared" ca="1" si="59"/>
        <v>2451214027.5132003</v>
      </c>
    </row>
    <row r="892" spans="1:5" x14ac:dyDescent="0.3">
      <c r="A892" s="4">
        <v>285</v>
      </c>
      <c r="B892" s="4">
        <f t="shared" ca="1" si="58"/>
        <v>0</v>
      </c>
      <c r="C892" s="4">
        <f t="shared" ca="1" si="59"/>
        <v>0</v>
      </c>
    </row>
    <row r="893" spans="1:5" x14ac:dyDescent="0.3">
      <c r="A893" s="4">
        <v>286</v>
      </c>
      <c r="B893" s="4">
        <f t="shared" ca="1" si="58"/>
        <v>0.16000000000000003</v>
      </c>
      <c r="C893" s="4">
        <f t="shared" ca="1" si="59"/>
        <v>1960971222.0105603</v>
      </c>
      <c r="D893" s="2"/>
      <c r="E893" s="2"/>
    </row>
    <row r="894" spans="1:5" x14ac:dyDescent="0.3">
      <c r="A894" s="4">
        <v>287</v>
      </c>
      <c r="B894" s="4">
        <f t="shared" ca="1" si="58"/>
        <v>4.0000000000000008E-2</v>
      </c>
      <c r="C894" s="4">
        <f t="shared" ca="1" si="59"/>
        <v>490242805.50264007</v>
      </c>
    </row>
    <row r="895" spans="1:5" x14ac:dyDescent="0.3">
      <c r="A895" s="4">
        <v>288</v>
      </c>
      <c r="B895" s="4">
        <f t="shared" ca="1" si="58"/>
        <v>0.32000000000000006</v>
      </c>
      <c r="C895" s="4">
        <f t="shared" ca="1" si="59"/>
        <v>3921942444.0211205</v>
      </c>
      <c r="D895" s="2"/>
      <c r="E895" s="2"/>
    </row>
    <row r="896" spans="1:5" x14ac:dyDescent="0.3">
      <c r="A896" s="4">
        <v>289</v>
      </c>
      <c r="B896" s="4">
        <f t="shared" ca="1" si="58"/>
        <v>0.32000000000000006</v>
      </c>
      <c r="C896" s="4">
        <f t="shared" ca="1" si="59"/>
        <v>3921942444.0211205</v>
      </c>
    </row>
    <row r="897" spans="1:5" x14ac:dyDescent="0.3">
      <c r="A897" s="4">
        <v>290</v>
      </c>
      <c r="B897" s="4">
        <f t="shared" ca="1" si="58"/>
        <v>0.12</v>
      </c>
      <c r="C897" s="4">
        <f t="shared" ca="1" si="59"/>
        <v>1470728416.50792</v>
      </c>
    </row>
    <row r="898" spans="1:5" x14ac:dyDescent="0.3">
      <c r="A898" s="4">
        <v>291</v>
      </c>
      <c r="B898" s="4">
        <f t="shared" ca="1" si="58"/>
        <v>4.0000000000000008E-2</v>
      </c>
      <c r="C898" s="4">
        <f t="shared" ca="1" si="59"/>
        <v>490242805.50264007</v>
      </c>
    </row>
    <row r="899" spans="1:5" x14ac:dyDescent="0.3">
      <c r="A899" s="4">
        <v>292</v>
      </c>
      <c r="B899" s="4">
        <f t="shared" ca="1" si="58"/>
        <v>0</v>
      </c>
      <c r="C899" s="4">
        <f t="shared" ca="1" si="59"/>
        <v>0</v>
      </c>
    </row>
    <row r="900" spans="1:5" x14ac:dyDescent="0.3">
      <c r="A900" s="4">
        <v>293</v>
      </c>
      <c r="B900" s="4">
        <f t="shared" ca="1" si="58"/>
        <v>0.36000000000000004</v>
      </c>
      <c r="C900" s="4">
        <f t="shared" ca="1" si="59"/>
        <v>4412185249.5237608</v>
      </c>
      <c r="D900" s="2"/>
      <c r="E900" s="2"/>
    </row>
    <row r="901" spans="1:5" x14ac:dyDescent="0.3">
      <c r="A901" s="4">
        <v>294</v>
      </c>
      <c r="B901" s="4">
        <f t="shared" ca="1" si="58"/>
        <v>0.27999999999999997</v>
      </c>
      <c r="C901" s="4">
        <f t="shared" ca="1" si="59"/>
        <v>3431699638.5184798</v>
      </c>
    </row>
    <row r="902" spans="1:5" x14ac:dyDescent="0.3">
      <c r="A902" s="4">
        <v>295</v>
      </c>
      <c r="B902" s="4">
        <f t="shared" ca="1" si="58"/>
        <v>8.0000000000000016E-2</v>
      </c>
      <c r="C902" s="4">
        <f t="shared" ca="1" si="59"/>
        <v>980485611.00528014</v>
      </c>
    </row>
    <row r="903" spans="1:5" x14ac:dyDescent="0.3">
      <c r="A903" s="4">
        <v>296</v>
      </c>
      <c r="B903" s="4">
        <f t="shared" ca="1" si="58"/>
        <v>0.24</v>
      </c>
      <c r="C903" s="4">
        <f t="shared" ca="1" si="59"/>
        <v>2941456833.0158401</v>
      </c>
      <c r="D903" s="2"/>
      <c r="E903" s="2"/>
    </row>
    <row r="904" spans="1:5" x14ac:dyDescent="0.3">
      <c r="A904" s="4">
        <v>297</v>
      </c>
      <c r="B904" s="4">
        <f t="shared" ca="1" si="58"/>
        <v>0.36000000000000004</v>
      </c>
      <c r="C904" s="4">
        <f t="shared" ca="1" si="59"/>
        <v>4412185249.5237608</v>
      </c>
    </row>
    <row r="905" spans="1:5" x14ac:dyDescent="0.3">
      <c r="A905" s="4">
        <v>298</v>
      </c>
      <c r="B905" s="4">
        <f t="shared" ca="1" si="58"/>
        <v>0.12</v>
      </c>
      <c r="C905" s="4">
        <f t="shared" ca="1" si="59"/>
        <v>1470728416.50792</v>
      </c>
      <c r="D905" s="2"/>
      <c r="E905" s="2"/>
    </row>
    <row r="906" spans="1:5" x14ac:dyDescent="0.3">
      <c r="A906" s="4">
        <v>299</v>
      </c>
      <c r="B906" s="4">
        <f t="shared" ca="1" si="58"/>
        <v>0.16000000000000003</v>
      </c>
      <c r="C906" s="4">
        <f t="shared" ca="1" si="59"/>
        <v>1960971222.0105603</v>
      </c>
    </row>
    <row r="907" spans="1:5" x14ac:dyDescent="0.3">
      <c r="A907" s="4">
        <v>300</v>
      </c>
      <c r="B907" s="4">
        <f t="shared" ca="1" si="58"/>
        <v>0.36000000000000004</v>
      </c>
      <c r="C907" s="4">
        <f t="shared" ca="1" si="59"/>
        <v>4412185249.5237608</v>
      </c>
    </row>
    <row r="908" spans="1:5" x14ac:dyDescent="0.3">
      <c r="A908" s="4">
        <v>301</v>
      </c>
      <c r="B908" s="4">
        <f t="shared" ca="1" si="58"/>
        <v>0.27999999999999997</v>
      </c>
      <c r="C908" s="4">
        <f t="shared" ca="1" si="59"/>
        <v>3431699638.5184798</v>
      </c>
    </row>
    <row r="909" spans="1:5" x14ac:dyDescent="0.3">
      <c r="A909" s="4">
        <v>302</v>
      </c>
      <c r="B909" s="4">
        <f t="shared" ca="1" si="58"/>
        <v>0.27999999999999997</v>
      </c>
      <c r="C909" s="4">
        <f t="shared" ca="1" si="59"/>
        <v>3431699638.5184798</v>
      </c>
    </row>
    <row r="910" spans="1:5" x14ac:dyDescent="0.3">
      <c r="A910" s="4">
        <v>303</v>
      </c>
      <c r="B910" s="4">
        <f t="shared" ca="1" si="58"/>
        <v>4.0000000000000008E-2</v>
      </c>
      <c r="C910" s="4">
        <f t="shared" ca="1" si="59"/>
        <v>490242805.50264007</v>
      </c>
      <c r="D910" s="2"/>
      <c r="E910" s="2"/>
    </row>
    <row r="911" spans="1:5" x14ac:dyDescent="0.3">
      <c r="A911" s="4">
        <v>304</v>
      </c>
      <c r="B911" s="4">
        <f t="shared" ca="1" si="58"/>
        <v>0.24</v>
      </c>
      <c r="C911" s="4">
        <f t="shared" ca="1" si="59"/>
        <v>2941456833.0158401</v>
      </c>
    </row>
    <row r="912" spans="1:5" x14ac:dyDescent="0.3">
      <c r="A912" s="4">
        <v>305</v>
      </c>
      <c r="B912" s="4">
        <f t="shared" ca="1" si="58"/>
        <v>0.27999999999999997</v>
      </c>
      <c r="C912" s="4">
        <f t="shared" ca="1" si="59"/>
        <v>3431699638.5184798</v>
      </c>
    </row>
    <row r="913" spans="1:5" x14ac:dyDescent="0.3">
      <c r="A913" s="4">
        <v>306</v>
      </c>
      <c r="B913" s="4">
        <f t="shared" ca="1" si="58"/>
        <v>4.0000000000000008E-2</v>
      </c>
      <c r="C913" s="4">
        <f t="shared" ca="1" si="59"/>
        <v>490242805.50264007</v>
      </c>
      <c r="D913" s="2"/>
      <c r="E913" s="2"/>
    </row>
    <row r="914" spans="1:5" x14ac:dyDescent="0.3">
      <c r="A914" s="4">
        <v>307</v>
      </c>
      <c r="B914" s="4">
        <f t="shared" ca="1" si="58"/>
        <v>0.27999999999999997</v>
      </c>
      <c r="C914" s="4">
        <f t="shared" ca="1" si="59"/>
        <v>3431699638.5184798</v>
      </c>
    </row>
    <row r="915" spans="1:5" x14ac:dyDescent="0.3">
      <c r="A915" s="4">
        <v>308</v>
      </c>
      <c r="B915" s="4">
        <f t="shared" ca="1" si="58"/>
        <v>0.36000000000000004</v>
      </c>
      <c r="C915" s="4">
        <f t="shared" ca="1" si="59"/>
        <v>4412185249.5237608</v>
      </c>
      <c r="D915" s="2"/>
      <c r="E915" s="2"/>
    </row>
    <row r="916" spans="1:5" x14ac:dyDescent="0.3">
      <c r="A916" s="4">
        <v>309</v>
      </c>
      <c r="B916" s="4">
        <f t="shared" ca="1" si="58"/>
        <v>0.27999999999999997</v>
      </c>
      <c r="C916" s="4">
        <f t="shared" ca="1" si="59"/>
        <v>3431699638.5184798</v>
      </c>
    </row>
    <row r="917" spans="1:5" x14ac:dyDescent="0.3">
      <c r="A917" s="4">
        <v>310</v>
      </c>
      <c r="B917" s="4">
        <f t="shared" ca="1" si="58"/>
        <v>8.0000000000000016E-2</v>
      </c>
      <c r="C917" s="4">
        <f t="shared" ca="1" si="59"/>
        <v>980485611.00528014</v>
      </c>
    </row>
    <row r="918" spans="1:5" x14ac:dyDescent="0.3">
      <c r="A918" s="4">
        <v>311</v>
      </c>
      <c r="B918" s="4">
        <f t="shared" ca="1" si="58"/>
        <v>0</v>
      </c>
      <c r="C918" s="4">
        <f t="shared" ca="1" si="59"/>
        <v>0</v>
      </c>
    </row>
    <row r="919" spans="1:5" x14ac:dyDescent="0.3">
      <c r="A919" s="4">
        <v>312</v>
      </c>
      <c r="B919" s="4">
        <f t="shared" ca="1" si="58"/>
        <v>0.36000000000000004</v>
      </c>
      <c r="C919" s="4">
        <f t="shared" ca="1" si="59"/>
        <v>4412185249.5237608</v>
      </c>
    </row>
    <row r="920" spans="1:5" x14ac:dyDescent="0.3">
      <c r="A920" s="4">
        <v>313</v>
      </c>
      <c r="B920" s="4">
        <f t="shared" ca="1" si="58"/>
        <v>0.32000000000000006</v>
      </c>
      <c r="C920" s="4">
        <f t="shared" ca="1" si="59"/>
        <v>3921942444.0211205</v>
      </c>
      <c r="D920" s="2"/>
      <c r="E920" s="2"/>
    </row>
    <row r="921" spans="1:5" x14ac:dyDescent="0.3">
      <c r="A921" s="4">
        <v>314</v>
      </c>
      <c r="B921" s="4">
        <f t="shared" ca="1" si="58"/>
        <v>0.24</v>
      </c>
      <c r="C921" s="4">
        <f t="shared" ca="1" si="59"/>
        <v>2941456833.0158401</v>
      </c>
    </row>
    <row r="922" spans="1:5" x14ac:dyDescent="0.3">
      <c r="A922" s="4">
        <v>315</v>
      </c>
      <c r="B922" s="4">
        <f t="shared" ca="1" si="58"/>
        <v>0.36000000000000004</v>
      </c>
      <c r="C922" s="4">
        <f t="shared" ca="1" si="59"/>
        <v>4412185249.5237608</v>
      </c>
    </row>
    <row r="923" spans="1:5" x14ac:dyDescent="0.3">
      <c r="A923" s="4">
        <v>316</v>
      </c>
      <c r="B923" s="4">
        <f t="shared" ca="1" si="58"/>
        <v>0.32000000000000006</v>
      </c>
      <c r="C923" s="4">
        <f t="shared" ca="1" si="59"/>
        <v>3921942444.0211205</v>
      </c>
      <c r="D923" s="2"/>
      <c r="E923" s="2"/>
    </row>
    <row r="924" spans="1:5" x14ac:dyDescent="0.3">
      <c r="A924" s="4">
        <v>317</v>
      </c>
      <c r="B924" s="4">
        <f t="shared" ca="1" si="58"/>
        <v>0.2</v>
      </c>
      <c r="C924" s="4">
        <f t="shared" ca="1" si="59"/>
        <v>2451214027.5132003</v>
      </c>
    </row>
    <row r="925" spans="1:5" x14ac:dyDescent="0.3">
      <c r="A925" s="4">
        <v>318</v>
      </c>
      <c r="B925" s="4">
        <f t="shared" ca="1" si="58"/>
        <v>0.24</v>
      </c>
      <c r="C925" s="4">
        <f t="shared" ca="1" si="59"/>
        <v>2941456833.0158401</v>
      </c>
      <c r="D925" s="2"/>
      <c r="E925" s="2"/>
    </row>
    <row r="926" spans="1:5" x14ac:dyDescent="0.3">
      <c r="A926" s="4">
        <v>319</v>
      </c>
      <c r="B926" s="4">
        <f t="shared" ca="1" si="58"/>
        <v>8.0000000000000016E-2</v>
      </c>
      <c r="C926" s="4">
        <f t="shared" ca="1" si="59"/>
        <v>980485611.00528014</v>
      </c>
    </row>
    <row r="927" spans="1:5" x14ac:dyDescent="0.3">
      <c r="A927" s="4">
        <v>320</v>
      </c>
      <c r="B927" s="4">
        <f t="shared" ca="1" si="58"/>
        <v>0.24</v>
      </c>
      <c r="C927" s="4">
        <f t="shared" ca="1" si="59"/>
        <v>2941456833.0158401</v>
      </c>
    </row>
    <row r="928" spans="1:5" x14ac:dyDescent="0.3">
      <c r="A928" s="4">
        <v>321</v>
      </c>
      <c r="B928" s="4">
        <f t="shared" ref="B928:B991" ca="1" si="60">ROUND(RAND(),1)*$E$601</f>
        <v>8.0000000000000016E-2</v>
      </c>
      <c r="C928" s="4">
        <f t="shared" ref="C928:C991" ca="1" si="61">B928*$E$600</f>
        <v>980485611.00528014</v>
      </c>
    </row>
    <row r="929" spans="1:5" x14ac:dyDescent="0.3">
      <c r="A929" s="4">
        <v>322</v>
      </c>
      <c r="B929" s="4">
        <f t="shared" ca="1" si="60"/>
        <v>8.0000000000000016E-2</v>
      </c>
      <c r="C929" s="4">
        <f t="shared" ca="1" si="61"/>
        <v>980485611.00528014</v>
      </c>
    </row>
    <row r="930" spans="1:5" x14ac:dyDescent="0.3">
      <c r="A930" s="4">
        <v>323</v>
      </c>
      <c r="B930" s="4">
        <f t="shared" ca="1" si="60"/>
        <v>8.0000000000000016E-2</v>
      </c>
      <c r="C930" s="4">
        <f t="shared" ca="1" si="61"/>
        <v>980485611.00528014</v>
      </c>
      <c r="D930" s="2"/>
      <c r="E930" s="2"/>
    </row>
    <row r="931" spans="1:5" x14ac:dyDescent="0.3">
      <c r="A931" s="4">
        <v>324</v>
      </c>
      <c r="B931" s="4">
        <f t="shared" ca="1" si="60"/>
        <v>0.16000000000000003</v>
      </c>
      <c r="C931" s="4">
        <f t="shared" ca="1" si="61"/>
        <v>1960971222.0105603</v>
      </c>
    </row>
    <row r="932" spans="1:5" x14ac:dyDescent="0.3">
      <c r="A932" s="4">
        <v>325</v>
      </c>
      <c r="B932" s="4">
        <f t="shared" ca="1" si="60"/>
        <v>4.0000000000000008E-2</v>
      </c>
      <c r="C932" s="4">
        <f t="shared" ca="1" si="61"/>
        <v>490242805.50264007</v>
      </c>
    </row>
    <row r="933" spans="1:5" x14ac:dyDescent="0.3">
      <c r="A933" s="4">
        <v>326</v>
      </c>
      <c r="B933" s="4">
        <f t="shared" ca="1" si="60"/>
        <v>8.0000000000000016E-2</v>
      </c>
      <c r="C933" s="4">
        <f t="shared" ca="1" si="61"/>
        <v>980485611.00528014</v>
      </c>
      <c r="D933" s="2"/>
      <c r="E933" s="2"/>
    </row>
    <row r="934" spans="1:5" x14ac:dyDescent="0.3">
      <c r="A934" s="4">
        <v>327</v>
      </c>
      <c r="B934" s="4">
        <f t="shared" ca="1" si="60"/>
        <v>0.27999999999999997</v>
      </c>
      <c r="C934" s="4">
        <f t="shared" ca="1" si="61"/>
        <v>3431699638.5184798</v>
      </c>
    </row>
    <row r="935" spans="1:5" x14ac:dyDescent="0.3">
      <c r="A935" s="4">
        <v>328</v>
      </c>
      <c r="B935" s="4">
        <f t="shared" ca="1" si="60"/>
        <v>0.16000000000000003</v>
      </c>
      <c r="C935" s="4">
        <f t="shared" ca="1" si="61"/>
        <v>1960971222.0105603</v>
      </c>
      <c r="D935" s="2"/>
      <c r="E935" s="2"/>
    </row>
    <row r="936" spans="1:5" x14ac:dyDescent="0.3">
      <c r="A936" s="4">
        <v>329</v>
      </c>
      <c r="B936" s="4">
        <f t="shared" ca="1" si="60"/>
        <v>0.2</v>
      </c>
      <c r="C936" s="4">
        <f t="shared" ca="1" si="61"/>
        <v>2451214027.5132003</v>
      </c>
    </row>
    <row r="937" spans="1:5" x14ac:dyDescent="0.3">
      <c r="A937" s="4">
        <v>330</v>
      </c>
      <c r="B937" s="4">
        <f t="shared" ca="1" si="60"/>
        <v>4.0000000000000008E-2</v>
      </c>
      <c r="C937" s="4">
        <f t="shared" ca="1" si="61"/>
        <v>490242805.50264007</v>
      </c>
    </row>
    <row r="938" spans="1:5" x14ac:dyDescent="0.3">
      <c r="A938" s="4">
        <v>331</v>
      </c>
      <c r="B938" s="4">
        <f t="shared" ca="1" si="60"/>
        <v>0.16000000000000003</v>
      </c>
      <c r="C938" s="4">
        <f t="shared" ca="1" si="61"/>
        <v>1960971222.0105603</v>
      </c>
    </row>
    <row r="939" spans="1:5" x14ac:dyDescent="0.3">
      <c r="A939" s="4">
        <v>332</v>
      </c>
      <c r="B939" s="4">
        <f t="shared" ca="1" si="60"/>
        <v>0.36000000000000004</v>
      </c>
      <c r="C939" s="4">
        <f t="shared" ca="1" si="61"/>
        <v>4412185249.5237608</v>
      </c>
    </row>
    <row r="940" spans="1:5" x14ac:dyDescent="0.3">
      <c r="A940" s="4">
        <v>333</v>
      </c>
      <c r="B940" s="4">
        <f t="shared" ca="1" si="60"/>
        <v>0.36000000000000004</v>
      </c>
      <c r="C940" s="4">
        <f t="shared" ca="1" si="61"/>
        <v>4412185249.5237608</v>
      </c>
      <c r="D940" s="2"/>
      <c r="E940" s="2"/>
    </row>
    <row r="941" spans="1:5" x14ac:dyDescent="0.3">
      <c r="A941" s="4">
        <v>334</v>
      </c>
      <c r="B941" s="4">
        <f t="shared" ca="1" si="60"/>
        <v>0.36000000000000004</v>
      </c>
      <c r="C941" s="4">
        <f t="shared" ca="1" si="61"/>
        <v>4412185249.5237608</v>
      </c>
    </row>
    <row r="942" spans="1:5" x14ac:dyDescent="0.3">
      <c r="A942" s="4">
        <v>335</v>
      </c>
      <c r="B942" s="4">
        <f t="shared" ca="1" si="60"/>
        <v>0.24</v>
      </c>
      <c r="C942" s="4">
        <f t="shared" ca="1" si="61"/>
        <v>2941456833.0158401</v>
      </c>
    </row>
    <row r="943" spans="1:5" x14ac:dyDescent="0.3">
      <c r="A943" s="4">
        <v>336</v>
      </c>
      <c r="B943" s="4">
        <f t="shared" ca="1" si="60"/>
        <v>0.16000000000000003</v>
      </c>
      <c r="C943" s="4">
        <f t="shared" ca="1" si="61"/>
        <v>1960971222.0105603</v>
      </c>
      <c r="D943" s="2"/>
      <c r="E943" s="2"/>
    </row>
    <row r="944" spans="1:5" x14ac:dyDescent="0.3">
      <c r="A944" s="4">
        <v>337</v>
      </c>
      <c r="B944" s="4">
        <f t="shared" ca="1" si="60"/>
        <v>0.27999999999999997</v>
      </c>
      <c r="C944" s="4">
        <f t="shared" ca="1" si="61"/>
        <v>3431699638.5184798</v>
      </c>
    </row>
    <row r="945" spans="1:5" x14ac:dyDescent="0.3">
      <c r="A945" s="4">
        <v>338</v>
      </c>
      <c r="B945" s="4">
        <f t="shared" ca="1" si="60"/>
        <v>4.0000000000000008E-2</v>
      </c>
      <c r="C945" s="4">
        <f t="shared" ca="1" si="61"/>
        <v>490242805.50264007</v>
      </c>
      <c r="D945" s="2"/>
      <c r="E945" s="2"/>
    </row>
    <row r="946" spans="1:5" x14ac:dyDescent="0.3">
      <c r="A946" s="4">
        <v>339</v>
      </c>
      <c r="B946" s="4">
        <f t="shared" ca="1" si="60"/>
        <v>4.0000000000000008E-2</v>
      </c>
      <c r="C946" s="4">
        <f t="shared" ca="1" si="61"/>
        <v>490242805.50264007</v>
      </c>
    </row>
    <row r="947" spans="1:5" x14ac:dyDescent="0.3">
      <c r="A947" s="4">
        <v>340</v>
      </c>
      <c r="B947" s="4">
        <f t="shared" ca="1" si="60"/>
        <v>0.2</v>
      </c>
      <c r="C947" s="4">
        <f t="shared" ca="1" si="61"/>
        <v>2451214027.5132003</v>
      </c>
    </row>
    <row r="948" spans="1:5" x14ac:dyDescent="0.3">
      <c r="A948" s="4">
        <v>341</v>
      </c>
      <c r="B948" s="4">
        <f t="shared" ca="1" si="60"/>
        <v>4.0000000000000008E-2</v>
      </c>
      <c r="C948" s="4">
        <f t="shared" ca="1" si="61"/>
        <v>490242805.50264007</v>
      </c>
    </row>
    <row r="949" spans="1:5" x14ac:dyDescent="0.3">
      <c r="A949" s="4">
        <v>342</v>
      </c>
      <c r="B949" s="4">
        <f t="shared" ca="1" si="60"/>
        <v>0.16000000000000003</v>
      </c>
      <c r="C949" s="4">
        <f t="shared" ca="1" si="61"/>
        <v>1960971222.0105603</v>
      </c>
    </row>
    <row r="950" spans="1:5" x14ac:dyDescent="0.3">
      <c r="A950" s="4">
        <v>343</v>
      </c>
      <c r="B950" s="4">
        <f t="shared" ca="1" si="60"/>
        <v>0.16000000000000003</v>
      </c>
      <c r="C950" s="4">
        <f t="shared" ca="1" si="61"/>
        <v>1960971222.0105603</v>
      </c>
      <c r="D950" s="2"/>
      <c r="E950" s="2"/>
    </row>
    <row r="951" spans="1:5" x14ac:dyDescent="0.3">
      <c r="A951" s="4">
        <v>344</v>
      </c>
      <c r="B951" s="4">
        <f t="shared" ca="1" si="60"/>
        <v>0.27999999999999997</v>
      </c>
      <c r="C951" s="4">
        <f t="shared" ca="1" si="61"/>
        <v>3431699638.5184798</v>
      </c>
    </row>
    <row r="952" spans="1:5" x14ac:dyDescent="0.3">
      <c r="A952" s="4">
        <v>345</v>
      </c>
      <c r="B952" s="4">
        <f t="shared" ca="1" si="60"/>
        <v>0.27999999999999997</v>
      </c>
      <c r="C952" s="4">
        <f t="shared" ca="1" si="61"/>
        <v>3431699638.5184798</v>
      </c>
    </row>
    <row r="953" spans="1:5" x14ac:dyDescent="0.3">
      <c r="A953" s="4">
        <v>346</v>
      </c>
      <c r="B953" s="4">
        <f t="shared" ca="1" si="60"/>
        <v>0.27999999999999997</v>
      </c>
      <c r="C953" s="4">
        <f t="shared" ca="1" si="61"/>
        <v>3431699638.5184798</v>
      </c>
      <c r="D953" s="2"/>
      <c r="E953" s="2"/>
    </row>
    <row r="954" spans="1:5" x14ac:dyDescent="0.3">
      <c r="A954" s="4">
        <v>347</v>
      </c>
      <c r="B954" s="4">
        <f t="shared" ca="1" si="60"/>
        <v>0.27999999999999997</v>
      </c>
      <c r="C954" s="4">
        <f t="shared" ca="1" si="61"/>
        <v>3431699638.5184798</v>
      </c>
    </row>
    <row r="955" spans="1:5" x14ac:dyDescent="0.3">
      <c r="A955" s="4">
        <v>348</v>
      </c>
      <c r="B955" s="4">
        <f t="shared" ca="1" si="60"/>
        <v>0.36000000000000004</v>
      </c>
      <c r="C955" s="4">
        <f t="shared" ca="1" si="61"/>
        <v>4412185249.5237608</v>
      </c>
      <c r="D955" s="2"/>
      <c r="E955" s="2"/>
    </row>
    <row r="956" spans="1:5" x14ac:dyDescent="0.3">
      <c r="A956" s="4">
        <v>349</v>
      </c>
      <c r="B956" s="4">
        <f t="shared" ca="1" si="60"/>
        <v>0.2</v>
      </c>
      <c r="C956" s="4">
        <f t="shared" ca="1" si="61"/>
        <v>2451214027.5132003</v>
      </c>
    </row>
    <row r="957" spans="1:5" x14ac:dyDescent="0.3">
      <c r="A957" s="4">
        <v>350</v>
      </c>
      <c r="B957" s="4">
        <f t="shared" ca="1" si="60"/>
        <v>0.16000000000000003</v>
      </c>
      <c r="C957" s="4">
        <f t="shared" ca="1" si="61"/>
        <v>1960971222.0105603</v>
      </c>
    </row>
    <row r="958" spans="1:5" x14ac:dyDescent="0.3">
      <c r="A958" s="4">
        <v>351</v>
      </c>
      <c r="B958" s="4">
        <f t="shared" ca="1" si="60"/>
        <v>0.12</v>
      </c>
      <c r="C958" s="4">
        <f t="shared" ca="1" si="61"/>
        <v>1470728416.50792</v>
      </c>
    </row>
    <row r="959" spans="1:5" x14ac:dyDescent="0.3">
      <c r="A959" s="4">
        <v>352</v>
      </c>
      <c r="B959" s="4">
        <f t="shared" ca="1" si="60"/>
        <v>0.24</v>
      </c>
      <c r="C959" s="4">
        <f t="shared" ca="1" si="61"/>
        <v>2941456833.0158401</v>
      </c>
    </row>
    <row r="960" spans="1:5" x14ac:dyDescent="0.3">
      <c r="A960" s="4">
        <v>353</v>
      </c>
      <c r="B960" s="4">
        <f t="shared" ca="1" si="60"/>
        <v>0.12</v>
      </c>
      <c r="C960" s="4">
        <f t="shared" ca="1" si="61"/>
        <v>1470728416.50792</v>
      </c>
      <c r="D960" s="2"/>
      <c r="E960" s="2"/>
    </row>
    <row r="961" spans="1:5" x14ac:dyDescent="0.3">
      <c r="A961" s="4">
        <v>354</v>
      </c>
      <c r="B961" s="4">
        <f t="shared" ca="1" si="60"/>
        <v>0.12</v>
      </c>
      <c r="C961" s="4">
        <f t="shared" ca="1" si="61"/>
        <v>1470728416.50792</v>
      </c>
    </row>
    <row r="962" spans="1:5" x14ac:dyDescent="0.3">
      <c r="A962" s="4">
        <v>355</v>
      </c>
      <c r="B962" s="4">
        <f t="shared" ca="1" si="60"/>
        <v>0.27999999999999997</v>
      </c>
      <c r="C962" s="4">
        <f t="shared" ca="1" si="61"/>
        <v>3431699638.5184798</v>
      </c>
    </row>
    <row r="963" spans="1:5" x14ac:dyDescent="0.3">
      <c r="A963" s="4">
        <v>356</v>
      </c>
      <c r="B963" s="4">
        <f t="shared" ca="1" si="60"/>
        <v>0.27999999999999997</v>
      </c>
      <c r="C963" s="4">
        <f t="shared" ca="1" si="61"/>
        <v>3431699638.5184798</v>
      </c>
      <c r="D963" s="2"/>
      <c r="E963" s="2"/>
    </row>
    <row r="964" spans="1:5" x14ac:dyDescent="0.3">
      <c r="A964" s="4">
        <v>357</v>
      </c>
      <c r="B964" s="4">
        <f t="shared" ca="1" si="60"/>
        <v>0.16000000000000003</v>
      </c>
      <c r="C964" s="4">
        <f t="shared" ca="1" si="61"/>
        <v>1960971222.0105603</v>
      </c>
    </row>
    <row r="965" spans="1:5" x14ac:dyDescent="0.3">
      <c r="A965" s="4">
        <v>358</v>
      </c>
      <c r="B965" s="4">
        <f t="shared" ca="1" si="60"/>
        <v>0.2</v>
      </c>
      <c r="C965" s="4">
        <f t="shared" ca="1" si="61"/>
        <v>2451214027.5132003</v>
      </c>
      <c r="D965" s="2"/>
      <c r="E965" s="2"/>
    </row>
    <row r="966" spans="1:5" x14ac:dyDescent="0.3">
      <c r="A966" s="4">
        <v>359</v>
      </c>
      <c r="B966" s="4">
        <f t="shared" ca="1" si="60"/>
        <v>0.4</v>
      </c>
      <c r="C966" s="4">
        <f t="shared" ca="1" si="61"/>
        <v>4902428055.0264006</v>
      </c>
    </row>
    <row r="967" spans="1:5" x14ac:dyDescent="0.3">
      <c r="A967" s="4">
        <v>360</v>
      </c>
      <c r="B967" s="4">
        <f t="shared" ca="1" si="60"/>
        <v>8.0000000000000016E-2</v>
      </c>
      <c r="C967" s="4">
        <f t="shared" ca="1" si="61"/>
        <v>980485611.00528014</v>
      </c>
    </row>
    <row r="968" spans="1:5" x14ac:dyDescent="0.3">
      <c r="A968" s="4">
        <v>361</v>
      </c>
      <c r="B968" s="4">
        <f t="shared" ca="1" si="60"/>
        <v>0.27999999999999997</v>
      </c>
      <c r="C968" s="4">
        <f t="shared" ca="1" si="61"/>
        <v>3431699638.5184798</v>
      </c>
    </row>
    <row r="969" spans="1:5" x14ac:dyDescent="0.3">
      <c r="A969" s="4">
        <v>362</v>
      </c>
      <c r="B969" s="4">
        <f t="shared" ca="1" si="60"/>
        <v>0.24</v>
      </c>
      <c r="C969" s="4">
        <f t="shared" ca="1" si="61"/>
        <v>2941456833.0158401</v>
      </c>
    </row>
    <row r="970" spans="1:5" x14ac:dyDescent="0.3">
      <c r="A970" s="4">
        <v>363</v>
      </c>
      <c r="B970" s="4">
        <f t="shared" ca="1" si="60"/>
        <v>4.0000000000000008E-2</v>
      </c>
      <c r="C970" s="4">
        <f t="shared" ca="1" si="61"/>
        <v>490242805.50264007</v>
      </c>
      <c r="D970" s="2"/>
      <c r="E970" s="2"/>
    </row>
    <row r="971" spans="1:5" x14ac:dyDescent="0.3">
      <c r="A971" s="4">
        <v>364</v>
      </c>
      <c r="B971" s="4">
        <f t="shared" ca="1" si="60"/>
        <v>0.12</v>
      </c>
      <c r="C971" s="4">
        <f t="shared" ca="1" si="61"/>
        <v>1470728416.50792</v>
      </c>
    </row>
    <row r="972" spans="1:5" x14ac:dyDescent="0.3">
      <c r="A972" s="4">
        <v>365</v>
      </c>
      <c r="B972" s="4">
        <f t="shared" ca="1" si="60"/>
        <v>0.36000000000000004</v>
      </c>
      <c r="C972" s="4">
        <f t="shared" ca="1" si="61"/>
        <v>4412185249.5237608</v>
      </c>
    </row>
    <row r="973" spans="1:5" x14ac:dyDescent="0.3">
      <c r="A973" s="4">
        <v>366</v>
      </c>
      <c r="B973" s="4">
        <f t="shared" ca="1" si="60"/>
        <v>0.16000000000000003</v>
      </c>
      <c r="C973" s="4">
        <f t="shared" ca="1" si="61"/>
        <v>1960971222.0105603</v>
      </c>
      <c r="D973" s="2"/>
      <c r="E973" s="2"/>
    </row>
    <row r="974" spans="1:5" x14ac:dyDescent="0.3">
      <c r="A974" s="4">
        <v>367</v>
      </c>
      <c r="B974" s="4">
        <f t="shared" ca="1" si="60"/>
        <v>0.16000000000000003</v>
      </c>
      <c r="C974" s="4">
        <f t="shared" ca="1" si="61"/>
        <v>1960971222.0105603</v>
      </c>
    </row>
    <row r="975" spans="1:5" x14ac:dyDescent="0.3">
      <c r="A975" s="4">
        <v>368</v>
      </c>
      <c r="B975" s="4">
        <f t="shared" ca="1" si="60"/>
        <v>0.24</v>
      </c>
      <c r="C975" s="4">
        <f t="shared" ca="1" si="61"/>
        <v>2941456833.0158401</v>
      </c>
      <c r="D975" s="2"/>
      <c r="E975" s="2"/>
    </row>
    <row r="976" spans="1:5" x14ac:dyDescent="0.3">
      <c r="A976" s="4">
        <v>369</v>
      </c>
      <c r="B976" s="4">
        <f t="shared" ca="1" si="60"/>
        <v>4.0000000000000008E-2</v>
      </c>
      <c r="C976" s="4">
        <f t="shared" ca="1" si="61"/>
        <v>490242805.50264007</v>
      </c>
    </row>
    <row r="977" spans="1:5" x14ac:dyDescent="0.3">
      <c r="A977" s="4">
        <v>370</v>
      </c>
      <c r="B977" s="4">
        <f t="shared" ca="1" si="60"/>
        <v>0.24</v>
      </c>
      <c r="C977" s="4">
        <f t="shared" ca="1" si="61"/>
        <v>2941456833.0158401</v>
      </c>
    </row>
    <row r="978" spans="1:5" x14ac:dyDescent="0.3">
      <c r="A978" s="4">
        <v>371</v>
      </c>
      <c r="B978" s="4">
        <f t="shared" ca="1" si="60"/>
        <v>0.27999999999999997</v>
      </c>
      <c r="C978" s="4">
        <f t="shared" ca="1" si="61"/>
        <v>3431699638.5184798</v>
      </c>
    </row>
    <row r="979" spans="1:5" x14ac:dyDescent="0.3">
      <c r="A979" s="4">
        <v>372</v>
      </c>
      <c r="B979" s="4">
        <f t="shared" ca="1" si="60"/>
        <v>0</v>
      </c>
      <c r="C979" s="4">
        <f t="shared" ca="1" si="61"/>
        <v>0</v>
      </c>
    </row>
    <row r="980" spans="1:5" x14ac:dyDescent="0.3">
      <c r="A980" s="4">
        <v>373</v>
      </c>
      <c r="B980" s="4">
        <f t="shared" ca="1" si="60"/>
        <v>0.2</v>
      </c>
      <c r="C980" s="4">
        <f t="shared" ca="1" si="61"/>
        <v>2451214027.5132003</v>
      </c>
      <c r="D980" s="2"/>
      <c r="E980" s="2"/>
    </row>
    <row r="981" spans="1:5" x14ac:dyDescent="0.3">
      <c r="A981" s="4">
        <v>374</v>
      </c>
      <c r="B981" s="4">
        <f t="shared" ca="1" si="60"/>
        <v>0.12</v>
      </c>
      <c r="C981" s="4">
        <f t="shared" ca="1" si="61"/>
        <v>1470728416.50792</v>
      </c>
    </row>
    <row r="982" spans="1:5" x14ac:dyDescent="0.3">
      <c r="A982" s="4">
        <v>375</v>
      </c>
      <c r="B982" s="4">
        <f t="shared" ca="1" si="60"/>
        <v>0.24</v>
      </c>
      <c r="C982" s="4">
        <f t="shared" ca="1" si="61"/>
        <v>2941456833.0158401</v>
      </c>
    </row>
    <row r="983" spans="1:5" x14ac:dyDescent="0.3">
      <c r="A983" s="4">
        <v>376</v>
      </c>
      <c r="B983" s="4">
        <f t="shared" ca="1" si="60"/>
        <v>0.24</v>
      </c>
      <c r="C983" s="4">
        <f t="shared" ca="1" si="61"/>
        <v>2941456833.0158401</v>
      </c>
      <c r="D983" s="2"/>
      <c r="E983" s="2"/>
    </row>
    <row r="984" spans="1:5" x14ac:dyDescent="0.3">
      <c r="A984" s="4">
        <v>377</v>
      </c>
      <c r="B984" s="4">
        <f t="shared" ca="1" si="60"/>
        <v>4.0000000000000008E-2</v>
      </c>
      <c r="C984" s="4">
        <f t="shared" ca="1" si="61"/>
        <v>490242805.50264007</v>
      </c>
    </row>
    <row r="985" spans="1:5" x14ac:dyDescent="0.3">
      <c r="A985" s="4">
        <v>378</v>
      </c>
      <c r="B985" s="4">
        <f t="shared" ca="1" si="60"/>
        <v>0.16000000000000003</v>
      </c>
      <c r="C985" s="4">
        <f t="shared" ca="1" si="61"/>
        <v>1960971222.0105603</v>
      </c>
      <c r="D985" s="2"/>
      <c r="E985" s="2"/>
    </row>
    <row r="986" spans="1:5" x14ac:dyDescent="0.3">
      <c r="A986" s="4">
        <v>379</v>
      </c>
      <c r="B986" s="4">
        <f t="shared" ca="1" si="60"/>
        <v>8.0000000000000016E-2</v>
      </c>
      <c r="C986" s="4">
        <f t="shared" ca="1" si="61"/>
        <v>980485611.00528014</v>
      </c>
    </row>
    <row r="987" spans="1:5" x14ac:dyDescent="0.3">
      <c r="A987" s="4">
        <v>380</v>
      </c>
      <c r="B987" s="4">
        <f t="shared" ca="1" si="60"/>
        <v>8.0000000000000016E-2</v>
      </c>
      <c r="C987" s="4">
        <f t="shared" ca="1" si="61"/>
        <v>980485611.00528014</v>
      </c>
    </row>
    <row r="988" spans="1:5" x14ac:dyDescent="0.3">
      <c r="A988" s="4">
        <v>381</v>
      </c>
      <c r="B988" s="4">
        <f t="shared" ca="1" si="60"/>
        <v>0.36000000000000004</v>
      </c>
      <c r="C988" s="4">
        <f t="shared" ca="1" si="61"/>
        <v>4412185249.5237608</v>
      </c>
    </row>
    <row r="989" spans="1:5" x14ac:dyDescent="0.3">
      <c r="A989" s="4">
        <v>382</v>
      </c>
      <c r="B989" s="4">
        <f t="shared" ca="1" si="60"/>
        <v>0.27999999999999997</v>
      </c>
      <c r="C989" s="4">
        <f t="shared" ca="1" si="61"/>
        <v>3431699638.5184798</v>
      </c>
    </row>
    <row r="990" spans="1:5" x14ac:dyDescent="0.3">
      <c r="A990" s="4">
        <v>383</v>
      </c>
      <c r="B990" s="4">
        <f t="shared" ca="1" si="60"/>
        <v>0.12</v>
      </c>
      <c r="C990" s="4">
        <f t="shared" ca="1" si="61"/>
        <v>1470728416.50792</v>
      </c>
      <c r="D990" s="2"/>
      <c r="E990" s="2"/>
    </row>
    <row r="991" spans="1:5" x14ac:dyDescent="0.3">
      <c r="A991" s="4">
        <v>384</v>
      </c>
      <c r="B991" s="4">
        <f t="shared" ca="1" si="60"/>
        <v>0.2</v>
      </c>
      <c r="C991" s="4">
        <f t="shared" ca="1" si="61"/>
        <v>2451214027.5132003</v>
      </c>
    </row>
    <row r="992" spans="1:5" x14ac:dyDescent="0.3">
      <c r="A992" s="4">
        <v>385</v>
      </c>
      <c r="B992" s="4">
        <f t="shared" ref="B992:B1055" ca="1" si="62">ROUND(RAND(),1)*$E$601</f>
        <v>8.0000000000000016E-2</v>
      </c>
      <c r="C992" s="4">
        <f t="shared" ref="C992:C1055" ca="1" si="63">B992*$E$600</f>
        <v>980485611.00528014</v>
      </c>
    </row>
    <row r="993" spans="1:5" x14ac:dyDescent="0.3">
      <c r="A993" s="4">
        <v>386</v>
      </c>
      <c r="B993" s="4">
        <f t="shared" ca="1" si="62"/>
        <v>0.24</v>
      </c>
      <c r="C993" s="4">
        <f t="shared" ca="1" si="63"/>
        <v>2941456833.0158401</v>
      </c>
      <c r="D993" s="2"/>
      <c r="E993" s="2"/>
    </row>
    <row r="994" spans="1:5" x14ac:dyDescent="0.3">
      <c r="A994" s="4">
        <v>387</v>
      </c>
      <c r="B994" s="4">
        <f t="shared" ca="1" si="62"/>
        <v>0.4</v>
      </c>
      <c r="C994" s="4">
        <f t="shared" ca="1" si="63"/>
        <v>4902428055.0264006</v>
      </c>
    </row>
    <row r="995" spans="1:5" x14ac:dyDescent="0.3">
      <c r="A995" s="4">
        <v>388</v>
      </c>
      <c r="B995" s="4">
        <f t="shared" ca="1" si="62"/>
        <v>0.27999999999999997</v>
      </c>
      <c r="C995" s="4">
        <f t="shared" ca="1" si="63"/>
        <v>3431699638.5184798</v>
      </c>
      <c r="D995" s="2"/>
      <c r="E995" s="2"/>
    </row>
    <row r="996" spans="1:5" x14ac:dyDescent="0.3">
      <c r="A996" s="4">
        <v>389</v>
      </c>
      <c r="B996" s="4">
        <f t="shared" ca="1" si="62"/>
        <v>0.4</v>
      </c>
      <c r="C996" s="4">
        <f t="shared" ca="1" si="63"/>
        <v>4902428055.0264006</v>
      </c>
    </row>
    <row r="997" spans="1:5" x14ac:dyDescent="0.3">
      <c r="A997" s="4">
        <v>390</v>
      </c>
      <c r="B997" s="4">
        <f t="shared" ca="1" si="62"/>
        <v>0.12</v>
      </c>
      <c r="C997" s="4">
        <f t="shared" ca="1" si="63"/>
        <v>1470728416.50792</v>
      </c>
    </row>
    <row r="998" spans="1:5" x14ac:dyDescent="0.3">
      <c r="A998" s="4">
        <v>391</v>
      </c>
      <c r="B998" s="4">
        <f t="shared" ca="1" si="62"/>
        <v>0.32000000000000006</v>
      </c>
      <c r="C998" s="4">
        <f t="shared" ca="1" si="63"/>
        <v>3921942444.0211205</v>
      </c>
    </row>
    <row r="999" spans="1:5" x14ac:dyDescent="0.3">
      <c r="A999" s="4">
        <v>392</v>
      </c>
      <c r="B999" s="4">
        <f t="shared" ca="1" si="62"/>
        <v>0.32000000000000006</v>
      </c>
      <c r="C999" s="4">
        <f t="shared" ca="1" si="63"/>
        <v>3921942444.0211205</v>
      </c>
    </row>
    <row r="1000" spans="1:5" x14ac:dyDescent="0.3">
      <c r="A1000" s="4">
        <v>393</v>
      </c>
      <c r="B1000" s="4">
        <f t="shared" ca="1" si="62"/>
        <v>0.24</v>
      </c>
      <c r="C1000" s="4">
        <f t="shared" ca="1" si="63"/>
        <v>2941456833.0158401</v>
      </c>
      <c r="D1000" s="2"/>
      <c r="E1000" s="2"/>
    </row>
    <row r="1001" spans="1:5" x14ac:dyDescent="0.3">
      <c r="A1001" s="4">
        <v>394</v>
      </c>
      <c r="B1001" s="4">
        <f t="shared" ca="1" si="62"/>
        <v>0</v>
      </c>
      <c r="C1001" s="4">
        <f t="shared" ca="1" si="63"/>
        <v>0</v>
      </c>
    </row>
    <row r="1002" spans="1:5" x14ac:dyDescent="0.3">
      <c r="A1002" s="4">
        <v>395</v>
      </c>
      <c r="B1002" s="4">
        <f t="shared" ca="1" si="62"/>
        <v>0.16000000000000003</v>
      </c>
      <c r="C1002" s="4">
        <f t="shared" ca="1" si="63"/>
        <v>1960971222.0105603</v>
      </c>
    </row>
    <row r="1003" spans="1:5" x14ac:dyDescent="0.3">
      <c r="A1003" s="4">
        <v>396</v>
      </c>
      <c r="B1003" s="4">
        <f t="shared" ca="1" si="62"/>
        <v>8.0000000000000016E-2</v>
      </c>
      <c r="C1003" s="4">
        <f t="shared" ca="1" si="63"/>
        <v>980485611.00528014</v>
      </c>
      <c r="D1003" s="2"/>
      <c r="E1003" s="2"/>
    </row>
    <row r="1004" spans="1:5" x14ac:dyDescent="0.3">
      <c r="A1004" s="4">
        <v>397</v>
      </c>
      <c r="B1004" s="4">
        <f t="shared" ca="1" si="62"/>
        <v>4.0000000000000008E-2</v>
      </c>
      <c r="C1004" s="4">
        <f t="shared" ca="1" si="63"/>
        <v>490242805.50264007</v>
      </c>
    </row>
    <row r="1005" spans="1:5" x14ac:dyDescent="0.3">
      <c r="A1005" s="4">
        <v>398</v>
      </c>
      <c r="B1005" s="4">
        <f t="shared" ca="1" si="62"/>
        <v>0.2</v>
      </c>
      <c r="C1005" s="4">
        <f t="shared" ca="1" si="63"/>
        <v>2451214027.5132003</v>
      </c>
      <c r="D1005" s="2"/>
      <c r="E1005" s="2"/>
    </row>
    <row r="1006" spans="1:5" x14ac:dyDescent="0.3">
      <c r="A1006" s="4">
        <v>399</v>
      </c>
      <c r="B1006" s="4">
        <f t="shared" ca="1" si="62"/>
        <v>0.24</v>
      </c>
      <c r="C1006" s="4">
        <f t="shared" ca="1" si="63"/>
        <v>2941456833.0158401</v>
      </c>
    </row>
    <row r="1007" spans="1:5" x14ac:dyDescent="0.3">
      <c r="A1007" s="4">
        <v>400</v>
      </c>
      <c r="B1007" s="4">
        <f t="shared" ca="1" si="62"/>
        <v>0.27999999999999997</v>
      </c>
      <c r="C1007" s="4">
        <f t="shared" ca="1" si="63"/>
        <v>3431699638.5184798</v>
      </c>
    </row>
    <row r="1008" spans="1:5" x14ac:dyDescent="0.3">
      <c r="A1008" s="4">
        <v>401</v>
      </c>
      <c r="B1008" s="4">
        <f t="shared" ca="1" si="62"/>
        <v>0.27999999999999997</v>
      </c>
      <c r="C1008" s="4">
        <f t="shared" ca="1" si="63"/>
        <v>3431699638.5184798</v>
      </c>
    </row>
    <row r="1009" spans="1:5" x14ac:dyDescent="0.3">
      <c r="A1009" s="4">
        <v>402</v>
      </c>
      <c r="B1009" s="4">
        <f t="shared" ca="1" si="62"/>
        <v>0.16000000000000003</v>
      </c>
      <c r="C1009" s="4">
        <f t="shared" ca="1" si="63"/>
        <v>1960971222.0105603</v>
      </c>
    </row>
    <row r="1010" spans="1:5" x14ac:dyDescent="0.3">
      <c r="A1010" s="4">
        <v>403</v>
      </c>
      <c r="B1010" s="4">
        <f t="shared" ca="1" si="62"/>
        <v>0.36000000000000004</v>
      </c>
      <c r="C1010" s="4">
        <f t="shared" ca="1" si="63"/>
        <v>4412185249.5237608</v>
      </c>
      <c r="D1010" s="2"/>
      <c r="E1010" s="2"/>
    </row>
    <row r="1011" spans="1:5" x14ac:dyDescent="0.3">
      <c r="A1011" s="4">
        <v>404</v>
      </c>
      <c r="B1011" s="4">
        <f t="shared" ca="1" si="62"/>
        <v>0.24</v>
      </c>
      <c r="C1011" s="4">
        <f t="shared" ca="1" si="63"/>
        <v>2941456833.0158401</v>
      </c>
    </row>
    <row r="1012" spans="1:5" x14ac:dyDescent="0.3">
      <c r="A1012" s="4">
        <v>405</v>
      </c>
      <c r="B1012" s="4">
        <f t="shared" ca="1" si="62"/>
        <v>0.2</v>
      </c>
      <c r="C1012" s="4">
        <f t="shared" ca="1" si="63"/>
        <v>2451214027.5132003</v>
      </c>
    </row>
    <row r="1013" spans="1:5" x14ac:dyDescent="0.3">
      <c r="A1013" s="4">
        <v>406</v>
      </c>
      <c r="B1013" s="4">
        <f t="shared" ca="1" si="62"/>
        <v>0.2</v>
      </c>
      <c r="C1013" s="4">
        <f t="shared" ca="1" si="63"/>
        <v>2451214027.5132003</v>
      </c>
      <c r="D1013" s="2"/>
      <c r="E1013" s="2"/>
    </row>
    <row r="1014" spans="1:5" x14ac:dyDescent="0.3">
      <c r="A1014" s="4">
        <v>407</v>
      </c>
      <c r="B1014" s="4">
        <f t="shared" ca="1" si="62"/>
        <v>0.36000000000000004</v>
      </c>
      <c r="C1014" s="4">
        <f t="shared" ca="1" si="63"/>
        <v>4412185249.5237608</v>
      </c>
    </row>
    <row r="1015" spans="1:5" x14ac:dyDescent="0.3">
      <c r="A1015" s="4">
        <v>408</v>
      </c>
      <c r="B1015" s="4">
        <f t="shared" ca="1" si="62"/>
        <v>0.24</v>
      </c>
      <c r="C1015" s="4">
        <f t="shared" ca="1" si="63"/>
        <v>2941456833.0158401</v>
      </c>
      <c r="D1015" s="2"/>
      <c r="E1015" s="2"/>
    </row>
    <row r="1016" spans="1:5" x14ac:dyDescent="0.3">
      <c r="A1016" s="4">
        <v>409</v>
      </c>
      <c r="B1016" s="4">
        <f t="shared" ca="1" si="62"/>
        <v>0.2</v>
      </c>
      <c r="C1016" s="4">
        <f t="shared" ca="1" si="63"/>
        <v>2451214027.5132003</v>
      </c>
    </row>
    <row r="1017" spans="1:5" x14ac:dyDescent="0.3">
      <c r="A1017" s="4">
        <v>410</v>
      </c>
      <c r="B1017" s="4">
        <f t="shared" ca="1" si="62"/>
        <v>0.16000000000000003</v>
      </c>
      <c r="C1017" s="4">
        <f t="shared" ca="1" si="63"/>
        <v>1960971222.0105603</v>
      </c>
    </row>
    <row r="1018" spans="1:5" x14ac:dyDescent="0.3">
      <c r="A1018" s="4">
        <v>411</v>
      </c>
      <c r="B1018" s="4">
        <f t="shared" ca="1" si="62"/>
        <v>8.0000000000000016E-2</v>
      </c>
      <c r="C1018" s="4">
        <f t="shared" ca="1" si="63"/>
        <v>980485611.00528014</v>
      </c>
    </row>
    <row r="1019" spans="1:5" x14ac:dyDescent="0.3">
      <c r="A1019" s="4">
        <v>412</v>
      </c>
      <c r="B1019" s="4">
        <f t="shared" ca="1" si="62"/>
        <v>0.27999999999999997</v>
      </c>
      <c r="C1019" s="4">
        <f t="shared" ca="1" si="63"/>
        <v>3431699638.5184798</v>
      </c>
    </row>
    <row r="1020" spans="1:5" x14ac:dyDescent="0.3">
      <c r="A1020" s="4">
        <v>413</v>
      </c>
      <c r="B1020" s="4">
        <f t="shared" ca="1" si="62"/>
        <v>0</v>
      </c>
      <c r="C1020" s="4">
        <f t="shared" ca="1" si="63"/>
        <v>0</v>
      </c>
      <c r="D1020" s="2"/>
      <c r="E1020" s="2"/>
    </row>
    <row r="1021" spans="1:5" x14ac:dyDescent="0.3">
      <c r="A1021" s="4">
        <v>414</v>
      </c>
      <c r="B1021" s="4">
        <f t="shared" ca="1" si="62"/>
        <v>0.4</v>
      </c>
      <c r="C1021" s="4">
        <f t="shared" ca="1" si="63"/>
        <v>4902428055.0264006</v>
      </c>
    </row>
    <row r="1022" spans="1:5" x14ac:dyDescent="0.3">
      <c r="A1022" s="4">
        <v>415</v>
      </c>
      <c r="B1022" s="4">
        <f t="shared" ca="1" si="62"/>
        <v>0.27999999999999997</v>
      </c>
      <c r="C1022" s="4">
        <f t="shared" ca="1" si="63"/>
        <v>3431699638.5184798</v>
      </c>
    </row>
    <row r="1023" spans="1:5" x14ac:dyDescent="0.3">
      <c r="A1023" s="4">
        <v>416</v>
      </c>
      <c r="B1023" s="4">
        <f t="shared" ca="1" si="62"/>
        <v>0</v>
      </c>
      <c r="C1023" s="4">
        <f t="shared" ca="1" si="63"/>
        <v>0</v>
      </c>
      <c r="D1023" s="2"/>
      <c r="E1023" s="2"/>
    </row>
    <row r="1024" spans="1:5" x14ac:dyDescent="0.3">
      <c r="A1024" s="4">
        <v>417</v>
      </c>
      <c r="B1024" s="4">
        <f t="shared" ca="1" si="62"/>
        <v>0.2</v>
      </c>
      <c r="C1024" s="4">
        <f t="shared" ca="1" si="63"/>
        <v>2451214027.5132003</v>
      </c>
    </row>
    <row r="1025" spans="1:5" x14ac:dyDescent="0.3">
      <c r="A1025" s="4">
        <v>418</v>
      </c>
      <c r="B1025" s="4">
        <f t="shared" ca="1" si="62"/>
        <v>0.36000000000000004</v>
      </c>
      <c r="C1025" s="4">
        <f t="shared" ca="1" si="63"/>
        <v>4412185249.5237608</v>
      </c>
      <c r="D1025" s="2"/>
      <c r="E1025" s="2"/>
    </row>
    <row r="1026" spans="1:5" x14ac:dyDescent="0.3">
      <c r="A1026" s="4">
        <v>419</v>
      </c>
      <c r="B1026" s="4">
        <f t="shared" ca="1" si="62"/>
        <v>8.0000000000000016E-2</v>
      </c>
      <c r="C1026" s="4">
        <f t="shared" ca="1" si="63"/>
        <v>980485611.00528014</v>
      </c>
    </row>
    <row r="1027" spans="1:5" x14ac:dyDescent="0.3">
      <c r="A1027" s="4">
        <v>420</v>
      </c>
      <c r="B1027" s="4">
        <f t="shared" ca="1" si="62"/>
        <v>0.2</v>
      </c>
      <c r="C1027" s="4">
        <f t="shared" ca="1" si="63"/>
        <v>2451214027.5132003</v>
      </c>
    </row>
    <row r="1028" spans="1:5" x14ac:dyDescent="0.3">
      <c r="A1028" s="4">
        <v>421</v>
      </c>
      <c r="B1028" s="4">
        <f t="shared" ca="1" si="62"/>
        <v>0.27999999999999997</v>
      </c>
      <c r="C1028" s="4">
        <f t="shared" ca="1" si="63"/>
        <v>3431699638.5184798</v>
      </c>
    </row>
    <row r="1029" spans="1:5" x14ac:dyDescent="0.3">
      <c r="A1029" s="4">
        <v>422</v>
      </c>
      <c r="B1029" s="4">
        <f t="shared" ca="1" si="62"/>
        <v>0.32000000000000006</v>
      </c>
      <c r="C1029" s="4">
        <f t="shared" ca="1" si="63"/>
        <v>3921942444.0211205</v>
      </c>
    </row>
    <row r="1030" spans="1:5" x14ac:dyDescent="0.3">
      <c r="A1030" s="4">
        <v>423</v>
      </c>
      <c r="B1030" s="4">
        <f t="shared" ca="1" si="62"/>
        <v>8.0000000000000016E-2</v>
      </c>
      <c r="C1030" s="4">
        <f t="shared" ca="1" si="63"/>
        <v>980485611.00528014</v>
      </c>
      <c r="D1030" s="2"/>
      <c r="E1030" s="2"/>
    </row>
    <row r="1031" spans="1:5" x14ac:dyDescent="0.3">
      <c r="A1031" s="4">
        <v>424</v>
      </c>
      <c r="B1031" s="4">
        <f t="shared" ca="1" si="62"/>
        <v>0.32000000000000006</v>
      </c>
      <c r="C1031" s="4">
        <f t="shared" ca="1" si="63"/>
        <v>3921942444.0211205</v>
      </c>
    </row>
    <row r="1032" spans="1:5" x14ac:dyDescent="0.3">
      <c r="A1032" s="4">
        <v>425</v>
      </c>
      <c r="B1032" s="4">
        <f t="shared" ca="1" si="62"/>
        <v>4.0000000000000008E-2</v>
      </c>
      <c r="C1032" s="4">
        <f t="shared" ca="1" si="63"/>
        <v>490242805.50264007</v>
      </c>
    </row>
    <row r="1033" spans="1:5" x14ac:dyDescent="0.3">
      <c r="A1033" s="4">
        <v>426</v>
      </c>
      <c r="B1033" s="4">
        <f t="shared" ca="1" si="62"/>
        <v>4.0000000000000008E-2</v>
      </c>
      <c r="C1033" s="4">
        <f t="shared" ca="1" si="63"/>
        <v>490242805.50264007</v>
      </c>
      <c r="D1033" s="2"/>
      <c r="E1033" s="2"/>
    </row>
    <row r="1034" spans="1:5" x14ac:dyDescent="0.3">
      <c r="A1034" s="4">
        <v>427</v>
      </c>
      <c r="B1034" s="4">
        <f t="shared" ca="1" si="62"/>
        <v>8.0000000000000016E-2</v>
      </c>
      <c r="C1034" s="4">
        <f t="shared" ca="1" si="63"/>
        <v>980485611.00528014</v>
      </c>
    </row>
    <row r="1035" spans="1:5" x14ac:dyDescent="0.3">
      <c r="A1035" s="4">
        <v>428</v>
      </c>
      <c r="B1035" s="4">
        <f t="shared" ca="1" si="62"/>
        <v>0.4</v>
      </c>
      <c r="C1035" s="4">
        <f t="shared" ca="1" si="63"/>
        <v>4902428055.0264006</v>
      </c>
      <c r="D1035" s="2"/>
      <c r="E1035" s="2"/>
    </row>
    <row r="1036" spans="1:5" x14ac:dyDescent="0.3">
      <c r="A1036" s="4">
        <v>429</v>
      </c>
      <c r="B1036" s="4">
        <f t="shared" ca="1" si="62"/>
        <v>0.2</v>
      </c>
      <c r="C1036" s="4">
        <f t="shared" ca="1" si="63"/>
        <v>2451214027.5132003</v>
      </c>
    </row>
    <row r="1037" spans="1:5" x14ac:dyDescent="0.3">
      <c r="A1037" s="4">
        <v>430</v>
      </c>
      <c r="B1037" s="4">
        <f t="shared" ca="1" si="62"/>
        <v>0.32000000000000006</v>
      </c>
      <c r="C1037" s="4">
        <f t="shared" ca="1" si="63"/>
        <v>3921942444.0211205</v>
      </c>
    </row>
    <row r="1038" spans="1:5" x14ac:dyDescent="0.3">
      <c r="A1038" s="4">
        <v>431</v>
      </c>
      <c r="B1038" s="4">
        <f t="shared" ca="1" si="62"/>
        <v>0.32000000000000006</v>
      </c>
      <c r="C1038" s="4">
        <f t="shared" ca="1" si="63"/>
        <v>3921942444.0211205</v>
      </c>
    </row>
    <row r="1039" spans="1:5" x14ac:dyDescent="0.3">
      <c r="A1039" s="4">
        <v>432</v>
      </c>
      <c r="B1039" s="4">
        <f t="shared" ca="1" si="62"/>
        <v>0.2</v>
      </c>
      <c r="C1039" s="4">
        <f t="shared" ca="1" si="63"/>
        <v>2451214027.5132003</v>
      </c>
    </row>
    <row r="1040" spans="1:5" x14ac:dyDescent="0.3">
      <c r="A1040" s="4">
        <v>433</v>
      </c>
      <c r="B1040" s="4">
        <f t="shared" ca="1" si="62"/>
        <v>4.0000000000000008E-2</v>
      </c>
      <c r="C1040" s="4">
        <f t="shared" ca="1" si="63"/>
        <v>490242805.50264007</v>
      </c>
      <c r="D1040" s="2"/>
      <c r="E1040" s="2"/>
    </row>
    <row r="1041" spans="1:5" x14ac:dyDescent="0.3">
      <c r="A1041" s="4">
        <v>434</v>
      </c>
      <c r="B1041" s="4">
        <f t="shared" ca="1" si="62"/>
        <v>0.2</v>
      </c>
      <c r="C1041" s="4">
        <f t="shared" ca="1" si="63"/>
        <v>2451214027.5132003</v>
      </c>
    </row>
    <row r="1042" spans="1:5" x14ac:dyDescent="0.3">
      <c r="A1042" s="4">
        <v>435</v>
      </c>
      <c r="B1042" s="4">
        <f t="shared" ca="1" si="62"/>
        <v>8.0000000000000016E-2</v>
      </c>
      <c r="C1042" s="4">
        <f t="shared" ca="1" si="63"/>
        <v>980485611.00528014</v>
      </c>
    </row>
    <row r="1043" spans="1:5" x14ac:dyDescent="0.3">
      <c r="A1043" s="4">
        <v>436</v>
      </c>
      <c r="B1043" s="4">
        <f t="shared" ca="1" si="62"/>
        <v>4.0000000000000008E-2</v>
      </c>
      <c r="C1043" s="4">
        <f t="shared" ca="1" si="63"/>
        <v>490242805.50264007</v>
      </c>
      <c r="D1043" s="2"/>
      <c r="E1043" s="2"/>
    </row>
    <row r="1044" spans="1:5" x14ac:dyDescent="0.3">
      <c r="A1044" s="4">
        <v>437</v>
      </c>
      <c r="B1044" s="4">
        <f t="shared" ca="1" si="62"/>
        <v>8.0000000000000016E-2</v>
      </c>
      <c r="C1044" s="4">
        <f t="shared" ca="1" si="63"/>
        <v>980485611.00528014</v>
      </c>
    </row>
    <row r="1045" spans="1:5" x14ac:dyDescent="0.3">
      <c r="A1045" s="4">
        <v>438</v>
      </c>
      <c r="B1045" s="4">
        <f t="shared" ca="1" si="62"/>
        <v>0.12</v>
      </c>
      <c r="C1045" s="4">
        <f t="shared" ca="1" si="63"/>
        <v>1470728416.50792</v>
      </c>
      <c r="D1045" s="2"/>
      <c r="E1045" s="2"/>
    </row>
    <row r="1046" spans="1:5" x14ac:dyDescent="0.3">
      <c r="A1046" s="4">
        <v>439</v>
      </c>
      <c r="B1046" s="4">
        <f t="shared" ca="1" si="62"/>
        <v>0.12</v>
      </c>
      <c r="C1046" s="4">
        <f t="shared" ca="1" si="63"/>
        <v>1470728416.50792</v>
      </c>
    </row>
    <row r="1047" spans="1:5" x14ac:dyDescent="0.3">
      <c r="A1047" s="4">
        <v>440</v>
      </c>
      <c r="B1047" s="4">
        <f t="shared" ca="1" si="62"/>
        <v>0.36000000000000004</v>
      </c>
      <c r="C1047" s="4">
        <f t="shared" ca="1" si="63"/>
        <v>4412185249.5237608</v>
      </c>
    </row>
    <row r="1048" spans="1:5" x14ac:dyDescent="0.3">
      <c r="A1048" s="4">
        <v>441</v>
      </c>
      <c r="B1048" s="4">
        <f t="shared" ca="1" si="62"/>
        <v>0.24</v>
      </c>
      <c r="C1048" s="4">
        <f t="shared" ca="1" si="63"/>
        <v>2941456833.0158401</v>
      </c>
    </row>
    <row r="1049" spans="1:5" x14ac:dyDescent="0.3">
      <c r="A1049" s="4">
        <v>442</v>
      </c>
      <c r="B1049" s="4">
        <f t="shared" ca="1" si="62"/>
        <v>0.4</v>
      </c>
      <c r="C1049" s="4">
        <f t="shared" ca="1" si="63"/>
        <v>4902428055.0264006</v>
      </c>
    </row>
    <row r="1050" spans="1:5" x14ac:dyDescent="0.3">
      <c r="A1050" s="4">
        <v>443</v>
      </c>
      <c r="B1050" s="4">
        <f t="shared" ca="1" si="62"/>
        <v>0</v>
      </c>
      <c r="C1050" s="4">
        <f t="shared" ca="1" si="63"/>
        <v>0</v>
      </c>
      <c r="D1050" s="2"/>
      <c r="E1050" s="2"/>
    </row>
    <row r="1051" spans="1:5" x14ac:dyDescent="0.3">
      <c r="A1051" s="4">
        <v>444</v>
      </c>
      <c r="B1051" s="4">
        <f t="shared" ca="1" si="62"/>
        <v>0.12</v>
      </c>
      <c r="C1051" s="4">
        <f t="shared" ca="1" si="63"/>
        <v>1470728416.50792</v>
      </c>
    </row>
    <row r="1052" spans="1:5" x14ac:dyDescent="0.3">
      <c r="A1052" s="4">
        <v>445</v>
      </c>
      <c r="B1052" s="4">
        <f t="shared" ca="1" si="62"/>
        <v>0.36000000000000004</v>
      </c>
      <c r="C1052" s="4">
        <f t="shared" ca="1" si="63"/>
        <v>4412185249.5237608</v>
      </c>
    </row>
    <row r="1053" spans="1:5" x14ac:dyDescent="0.3">
      <c r="A1053" s="4">
        <v>446</v>
      </c>
      <c r="B1053" s="4">
        <f t="shared" ca="1" si="62"/>
        <v>0.4</v>
      </c>
      <c r="C1053" s="4">
        <f t="shared" ca="1" si="63"/>
        <v>4902428055.0264006</v>
      </c>
      <c r="D1053" s="2"/>
      <c r="E1053" s="2"/>
    </row>
    <row r="1054" spans="1:5" x14ac:dyDescent="0.3">
      <c r="A1054" s="4">
        <v>447</v>
      </c>
      <c r="B1054" s="4">
        <f t="shared" ca="1" si="62"/>
        <v>0.27999999999999997</v>
      </c>
      <c r="C1054" s="4">
        <f t="shared" ca="1" si="63"/>
        <v>3431699638.5184798</v>
      </c>
    </row>
    <row r="1055" spans="1:5" x14ac:dyDescent="0.3">
      <c r="A1055" s="4">
        <v>448</v>
      </c>
      <c r="B1055" s="4">
        <f t="shared" ca="1" si="62"/>
        <v>0.16000000000000003</v>
      </c>
      <c r="C1055" s="4">
        <f t="shared" ca="1" si="63"/>
        <v>1960971222.0105603</v>
      </c>
      <c r="D1055" s="2"/>
      <c r="E1055" s="2"/>
    </row>
    <row r="1056" spans="1:5" x14ac:dyDescent="0.3">
      <c r="A1056" s="4">
        <v>449</v>
      </c>
      <c r="B1056" s="4">
        <f t="shared" ref="B1056:B1119" ca="1" si="64">ROUND(RAND(),1)*$E$601</f>
        <v>0.16000000000000003</v>
      </c>
      <c r="C1056" s="4">
        <f t="shared" ref="C1056:C1119" ca="1" si="65">B1056*$E$600</f>
        <v>1960971222.0105603</v>
      </c>
    </row>
    <row r="1057" spans="1:5" x14ac:dyDescent="0.3">
      <c r="A1057" s="4">
        <v>450</v>
      </c>
      <c r="B1057" s="4">
        <f t="shared" ca="1" si="64"/>
        <v>0.2</v>
      </c>
      <c r="C1057" s="4">
        <f t="shared" ca="1" si="65"/>
        <v>2451214027.5132003</v>
      </c>
    </row>
    <row r="1058" spans="1:5" x14ac:dyDescent="0.3">
      <c r="A1058" s="4">
        <v>451</v>
      </c>
      <c r="B1058" s="4">
        <f t="shared" ca="1" si="64"/>
        <v>0</v>
      </c>
      <c r="C1058" s="4">
        <f t="shared" ca="1" si="65"/>
        <v>0</v>
      </c>
    </row>
    <row r="1059" spans="1:5" x14ac:dyDescent="0.3">
      <c r="A1059" s="4">
        <v>452</v>
      </c>
      <c r="B1059" s="4">
        <f t="shared" ca="1" si="64"/>
        <v>0.2</v>
      </c>
      <c r="C1059" s="4">
        <f t="shared" ca="1" si="65"/>
        <v>2451214027.5132003</v>
      </c>
    </row>
    <row r="1060" spans="1:5" x14ac:dyDescent="0.3">
      <c r="A1060" s="4">
        <v>453</v>
      </c>
      <c r="B1060" s="4">
        <f t="shared" ca="1" si="64"/>
        <v>0.2</v>
      </c>
      <c r="C1060" s="4">
        <f t="shared" ca="1" si="65"/>
        <v>2451214027.5132003</v>
      </c>
      <c r="D1060" s="2"/>
      <c r="E1060" s="2"/>
    </row>
    <row r="1061" spans="1:5" x14ac:dyDescent="0.3">
      <c r="A1061" s="4">
        <v>454</v>
      </c>
      <c r="B1061" s="4">
        <f t="shared" ca="1" si="64"/>
        <v>0.2</v>
      </c>
      <c r="C1061" s="4">
        <f t="shared" ca="1" si="65"/>
        <v>2451214027.5132003</v>
      </c>
    </row>
    <row r="1062" spans="1:5" x14ac:dyDescent="0.3">
      <c r="A1062" s="4">
        <v>455</v>
      </c>
      <c r="B1062" s="4">
        <f t="shared" ca="1" si="64"/>
        <v>0.32000000000000006</v>
      </c>
      <c r="C1062" s="4">
        <f t="shared" ca="1" si="65"/>
        <v>3921942444.0211205</v>
      </c>
    </row>
    <row r="1063" spans="1:5" x14ac:dyDescent="0.3">
      <c r="A1063" s="4">
        <v>456</v>
      </c>
      <c r="B1063" s="4">
        <f t="shared" ca="1" si="64"/>
        <v>0.24</v>
      </c>
      <c r="C1063" s="4">
        <f t="shared" ca="1" si="65"/>
        <v>2941456833.0158401</v>
      </c>
      <c r="D1063" s="2"/>
      <c r="E1063" s="2"/>
    </row>
    <row r="1064" spans="1:5" x14ac:dyDescent="0.3">
      <c r="A1064" s="4">
        <v>457</v>
      </c>
      <c r="B1064" s="4">
        <f t="shared" ca="1" si="64"/>
        <v>0.36000000000000004</v>
      </c>
      <c r="C1064" s="4">
        <f t="shared" ca="1" si="65"/>
        <v>4412185249.5237608</v>
      </c>
    </row>
    <row r="1065" spans="1:5" x14ac:dyDescent="0.3">
      <c r="A1065" s="4">
        <v>458</v>
      </c>
      <c r="B1065" s="4">
        <f t="shared" ca="1" si="64"/>
        <v>0.2</v>
      </c>
      <c r="C1065" s="4">
        <f t="shared" ca="1" si="65"/>
        <v>2451214027.5132003</v>
      </c>
      <c r="D1065" s="2"/>
      <c r="E1065" s="2"/>
    </row>
    <row r="1066" spans="1:5" x14ac:dyDescent="0.3">
      <c r="A1066" s="4">
        <v>459</v>
      </c>
      <c r="B1066" s="4">
        <f t="shared" ca="1" si="64"/>
        <v>0.12</v>
      </c>
      <c r="C1066" s="4">
        <f t="shared" ca="1" si="65"/>
        <v>1470728416.50792</v>
      </c>
    </row>
    <row r="1067" spans="1:5" x14ac:dyDescent="0.3">
      <c r="A1067" s="4">
        <v>460</v>
      </c>
      <c r="B1067" s="4">
        <f t="shared" ca="1" si="64"/>
        <v>0.4</v>
      </c>
      <c r="C1067" s="4">
        <f t="shared" ca="1" si="65"/>
        <v>4902428055.0264006</v>
      </c>
    </row>
    <row r="1068" spans="1:5" x14ac:dyDescent="0.3">
      <c r="A1068" s="4">
        <v>461</v>
      </c>
      <c r="B1068" s="4">
        <f t="shared" ca="1" si="64"/>
        <v>0.12</v>
      </c>
      <c r="C1068" s="4">
        <f t="shared" ca="1" si="65"/>
        <v>1470728416.50792</v>
      </c>
    </row>
    <row r="1069" spans="1:5" x14ac:dyDescent="0.3">
      <c r="A1069" s="4">
        <v>462</v>
      </c>
      <c r="B1069" s="4">
        <f t="shared" ca="1" si="64"/>
        <v>0.2</v>
      </c>
      <c r="C1069" s="4">
        <f t="shared" ca="1" si="65"/>
        <v>2451214027.5132003</v>
      </c>
    </row>
    <row r="1070" spans="1:5" x14ac:dyDescent="0.3">
      <c r="A1070" s="4">
        <v>463</v>
      </c>
      <c r="B1070" s="4">
        <f t="shared" ca="1" si="64"/>
        <v>0.36000000000000004</v>
      </c>
      <c r="C1070" s="4">
        <f t="shared" ca="1" si="65"/>
        <v>4412185249.5237608</v>
      </c>
      <c r="D1070" s="2"/>
      <c r="E1070" s="2"/>
    </row>
    <row r="1071" spans="1:5" x14ac:dyDescent="0.3">
      <c r="A1071" s="4">
        <v>464</v>
      </c>
      <c r="B1071" s="4">
        <f t="shared" ca="1" si="64"/>
        <v>0.24</v>
      </c>
      <c r="C1071" s="4">
        <f t="shared" ca="1" si="65"/>
        <v>2941456833.0158401</v>
      </c>
    </row>
    <row r="1072" spans="1:5" x14ac:dyDescent="0.3">
      <c r="A1072" s="4">
        <v>465</v>
      </c>
      <c r="B1072" s="4">
        <f t="shared" ca="1" si="64"/>
        <v>0.16000000000000003</v>
      </c>
      <c r="C1072" s="4">
        <f t="shared" ca="1" si="65"/>
        <v>1960971222.0105603</v>
      </c>
    </row>
    <row r="1073" spans="1:5" x14ac:dyDescent="0.3">
      <c r="A1073" s="4">
        <v>466</v>
      </c>
      <c r="B1073" s="4">
        <f t="shared" ca="1" si="64"/>
        <v>8.0000000000000016E-2</v>
      </c>
      <c r="C1073" s="4">
        <f t="shared" ca="1" si="65"/>
        <v>980485611.00528014</v>
      </c>
      <c r="D1073" s="2"/>
      <c r="E1073" s="2"/>
    </row>
    <row r="1074" spans="1:5" x14ac:dyDescent="0.3">
      <c r="A1074" s="4">
        <v>467</v>
      </c>
      <c r="B1074" s="4">
        <f t="shared" ca="1" si="64"/>
        <v>0.2</v>
      </c>
      <c r="C1074" s="4">
        <f t="shared" ca="1" si="65"/>
        <v>2451214027.5132003</v>
      </c>
    </row>
    <row r="1075" spans="1:5" x14ac:dyDescent="0.3">
      <c r="A1075" s="4">
        <v>468</v>
      </c>
      <c r="B1075" s="4">
        <f t="shared" ca="1" si="64"/>
        <v>4.0000000000000008E-2</v>
      </c>
      <c r="C1075" s="4">
        <f t="shared" ca="1" si="65"/>
        <v>490242805.50264007</v>
      </c>
      <c r="D1075" s="2"/>
      <c r="E1075" s="2"/>
    </row>
    <row r="1076" spans="1:5" x14ac:dyDescent="0.3">
      <c r="A1076" s="4">
        <v>469</v>
      </c>
      <c r="B1076" s="4">
        <f t="shared" ca="1" si="64"/>
        <v>0.27999999999999997</v>
      </c>
      <c r="C1076" s="4">
        <f t="shared" ca="1" si="65"/>
        <v>3431699638.5184798</v>
      </c>
    </row>
    <row r="1077" spans="1:5" x14ac:dyDescent="0.3">
      <c r="A1077" s="4">
        <v>470</v>
      </c>
      <c r="B1077" s="4">
        <f t="shared" ca="1" si="64"/>
        <v>0.24</v>
      </c>
      <c r="C1077" s="4">
        <f t="shared" ca="1" si="65"/>
        <v>2941456833.0158401</v>
      </c>
    </row>
    <row r="1078" spans="1:5" x14ac:dyDescent="0.3">
      <c r="A1078" s="4">
        <v>471</v>
      </c>
      <c r="B1078" s="4">
        <f t="shared" ca="1" si="64"/>
        <v>8.0000000000000016E-2</v>
      </c>
      <c r="C1078" s="4">
        <f t="shared" ca="1" si="65"/>
        <v>980485611.00528014</v>
      </c>
    </row>
    <row r="1079" spans="1:5" x14ac:dyDescent="0.3">
      <c r="A1079" s="4">
        <v>472</v>
      </c>
      <c r="B1079" s="4">
        <f t="shared" ca="1" si="64"/>
        <v>0.32000000000000006</v>
      </c>
      <c r="C1079" s="4">
        <f t="shared" ca="1" si="65"/>
        <v>3921942444.0211205</v>
      </c>
    </row>
    <row r="1080" spans="1:5" x14ac:dyDescent="0.3">
      <c r="A1080" s="4">
        <v>473</v>
      </c>
      <c r="B1080" s="4">
        <f t="shared" ca="1" si="64"/>
        <v>8.0000000000000016E-2</v>
      </c>
      <c r="C1080" s="4">
        <f t="shared" ca="1" si="65"/>
        <v>980485611.00528014</v>
      </c>
      <c r="D1080" s="2"/>
      <c r="E1080" s="2"/>
    </row>
    <row r="1081" spans="1:5" x14ac:dyDescent="0.3">
      <c r="A1081" s="4">
        <v>474</v>
      </c>
      <c r="B1081" s="4">
        <f t="shared" ca="1" si="64"/>
        <v>0.36000000000000004</v>
      </c>
      <c r="C1081" s="4">
        <f t="shared" ca="1" si="65"/>
        <v>4412185249.5237608</v>
      </c>
    </row>
    <row r="1082" spans="1:5" x14ac:dyDescent="0.3">
      <c r="A1082" s="4">
        <v>475</v>
      </c>
      <c r="B1082" s="4">
        <f t="shared" ca="1" si="64"/>
        <v>4.0000000000000008E-2</v>
      </c>
      <c r="C1082" s="4">
        <f t="shared" ca="1" si="65"/>
        <v>490242805.50264007</v>
      </c>
    </row>
    <row r="1083" spans="1:5" x14ac:dyDescent="0.3">
      <c r="A1083" s="4">
        <v>476</v>
      </c>
      <c r="B1083" s="4">
        <f t="shared" ca="1" si="64"/>
        <v>0.12</v>
      </c>
      <c r="C1083" s="4">
        <f t="shared" ca="1" si="65"/>
        <v>1470728416.50792</v>
      </c>
      <c r="D1083" s="2"/>
      <c r="E1083" s="2"/>
    </row>
    <row r="1084" spans="1:5" x14ac:dyDescent="0.3">
      <c r="A1084" s="4">
        <v>477</v>
      </c>
      <c r="B1084" s="4">
        <f t="shared" ca="1" si="64"/>
        <v>4.0000000000000008E-2</v>
      </c>
      <c r="C1084" s="4">
        <f t="shared" ca="1" si="65"/>
        <v>490242805.50264007</v>
      </c>
    </row>
    <row r="1085" spans="1:5" x14ac:dyDescent="0.3">
      <c r="A1085" s="4">
        <v>478</v>
      </c>
      <c r="B1085" s="4">
        <f t="shared" ca="1" si="64"/>
        <v>0.32000000000000006</v>
      </c>
      <c r="C1085" s="4">
        <f t="shared" ca="1" si="65"/>
        <v>3921942444.0211205</v>
      </c>
      <c r="D1085" s="2"/>
      <c r="E1085" s="2"/>
    </row>
    <row r="1086" spans="1:5" x14ac:dyDescent="0.3">
      <c r="A1086" s="4">
        <v>479</v>
      </c>
      <c r="B1086" s="4">
        <f t="shared" ca="1" si="64"/>
        <v>0.27999999999999997</v>
      </c>
      <c r="C1086" s="4">
        <f t="shared" ca="1" si="65"/>
        <v>3431699638.5184798</v>
      </c>
    </row>
    <row r="1087" spans="1:5" x14ac:dyDescent="0.3">
      <c r="A1087" s="4">
        <v>480</v>
      </c>
      <c r="B1087" s="4">
        <f t="shared" ca="1" si="64"/>
        <v>0.27999999999999997</v>
      </c>
      <c r="C1087" s="4">
        <f t="shared" ca="1" si="65"/>
        <v>3431699638.5184798</v>
      </c>
    </row>
    <row r="1088" spans="1:5" x14ac:dyDescent="0.3">
      <c r="A1088" s="4">
        <v>481</v>
      </c>
      <c r="B1088" s="4">
        <f t="shared" ca="1" si="64"/>
        <v>0.32000000000000006</v>
      </c>
      <c r="C1088" s="4">
        <f t="shared" ca="1" si="65"/>
        <v>3921942444.0211205</v>
      </c>
    </row>
    <row r="1089" spans="1:5" x14ac:dyDescent="0.3">
      <c r="A1089" s="4">
        <v>482</v>
      </c>
      <c r="B1089" s="4">
        <f t="shared" ca="1" si="64"/>
        <v>0.12</v>
      </c>
      <c r="C1089" s="4">
        <f t="shared" ca="1" si="65"/>
        <v>1470728416.50792</v>
      </c>
    </row>
    <row r="1090" spans="1:5" x14ac:dyDescent="0.3">
      <c r="A1090" s="4">
        <v>483</v>
      </c>
      <c r="B1090" s="4">
        <f t="shared" ca="1" si="64"/>
        <v>0.27999999999999997</v>
      </c>
      <c r="C1090" s="4">
        <f t="shared" ca="1" si="65"/>
        <v>3431699638.5184798</v>
      </c>
      <c r="D1090" s="2"/>
      <c r="E1090" s="2"/>
    </row>
    <row r="1091" spans="1:5" x14ac:dyDescent="0.3">
      <c r="A1091" s="4">
        <v>484</v>
      </c>
      <c r="B1091" s="4">
        <f t="shared" ca="1" si="64"/>
        <v>0.36000000000000004</v>
      </c>
      <c r="C1091" s="4">
        <f t="shared" ca="1" si="65"/>
        <v>4412185249.5237608</v>
      </c>
    </row>
    <row r="1092" spans="1:5" x14ac:dyDescent="0.3">
      <c r="A1092" s="4">
        <v>485</v>
      </c>
      <c r="B1092" s="4">
        <f t="shared" ca="1" si="64"/>
        <v>0.32000000000000006</v>
      </c>
      <c r="C1092" s="4">
        <f t="shared" ca="1" si="65"/>
        <v>3921942444.0211205</v>
      </c>
    </row>
    <row r="1093" spans="1:5" x14ac:dyDescent="0.3">
      <c r="A1093" s="4">
        <v>486</v>
      </c>
      <c r="B1093" s="4">
        <f t="shared" ca="1" si="64"/>
        <v>0.2</v>
      </c>
      <c r="C1093" s="4">
        <f t="shared" ca="1" si="65"/>
        <v>2451214027.5132003</v>
      </c>
      <c r="D1093" s="2"/>
      <c r="E1093" s="2"/>
    </row>
    <row r="1094" spans="1:5" x14ac:dyDescent="0.3">
      <c r="A1094" s="4">
        <v>487</v>
      </c>
      <c r="B1094" s="4">
        <f t="shared" ca="1" si="64"/>
        <v>0.36000000000000004</v>
      </c>
      <c r="C1094" s="4">
        <f t="shared" ca="1" si="65"/>
        <v>4412185249.5237608</v>
      </c>
    </row>
    <row r="1095" spans="1:5" x14ac:dyDescent="0.3">
      <c r="A1095" s="4">
        <v>488</v>
      </c>
      <c r="B1095" s="4">
        <f t="shared" ca="1" si="64"/>
        <v>0.12</v>
      </c>
      <c r="C1095" s="4">
        <f t="shared" ca="1" si="65"/>
        <v>1470728416.50792</v>
      </c>
      <c r="D1095" s="2"/>
      <c r="E1095" s="2"/>
    </row>
    <row r="1096" spans="1:5" x14ac:dyDescent="0.3">
      <c r="A1096" s="4">
        <v>489</v>
      </c>
      <c r="B1096" s="4">
        <f t="shared" ca="1" si="64"/>
        <v>0.24</v>
      </c>
      <c r="C1096" s="4">
        <f t="shared" ca="1" si="65"/>
        <v>2941456833.0158401</v>
      </c>
    </row>
    <row r="1097" spans="1:5" x14ac:dyDescent="0.3">
      <c r="A1097" s="4">
        <v>490</v>
      </c>
      <c r="B1097" s="4">
        <f t="shared" ca="1" si="64"/>
        <v>0.4</v>
      </c>
      <c r="C1097" s="4">
        <f t="shared" ca="1" si="65"/>
        <v>4902428055.0264006</v>
      </c>
    </row>
    <row r="1098" spans="1:5" x14ac:dyDescent="0.3">
      <c r="A1098" s="4">
        <v>491</v>
      </c>
      <c r="B1098" s="4">
        <f t="shared" ca="1" si="64"/>
        <v>0</v>
      </c>
      <c r="C1098" s="4">
        <f t="shared" ca="1" si="65"/>
        <v>0</v>
      </c>
    </row>
    <row r="1099" spans="1:5" x14ac:dyDescent="0.3">
      <c r="A1099" s="4">
        <v>492</v>
      </c>
      <c r="B1099" s="4">
        <f t="shared" ca="1" si="64"/>
        <v>0.27999999999999997</v>
      </c>
      <c r="C1099" s="4">
        <f t="shared" ca="1" si="65"/>
        <v>3431699638.5184798</v>
      </c>
    </row>
    <row r="1100" spans="1:5" x14ac:dyDescent="0.3">
      <c r="A1100" s="4">
        <v>493</v>
      </c>
      <c r="B1100" s="4">
        <f t="shared" ca="1" si="64"/>
        <v>0.27999999999999997</v>
      </c>
      <c r="C1100" s="4">
        <f t="shared" ca="1" si="65"/>
        <v>3431699638.5184798</v>
      </c>
      <c r="D1100" s="2"/>
      <c r="E1100" s="2"/>
    </row>
    <row r="1101" spans="1:5" x14ac:dyDescent="0.3">
      <c r="A1101" s="4">
        <v>494</v>
      </c>
      <c r="B1101" s="4">
        <f t="shared" ca="1" si="64"/>
        <v>0.27999999999999997</v>
      </c>
      <c r="C1101" s="4">
        <f t="shared" ca="1" si="65"/>
        <v>3431699638.5184798</v>
      </c>
    </row>
    <row r="1102" spans="1:5" x14ac:dyDescent="0.3">
      <c r="A1102" s="4">
        <v>495</v>
      </c>
      <c r="B1102" s="4">
        <f t="shared" ca="1" si="64"/>
        <v>0.16000000000000003</v>
      </c>
      <c r="C1102" s="4">
        <f t="shared" ca="1" si="65"/>
        <v>1960971222.0105603</v>
      </c>
    </row>
    <row r="1103" spans="1:5" x14ac:dyDescent="0.3">
      <c r="A1103" s="4">
        <v>496</v>
      </c>
      <c r="B1103" s="4">
        <f t="shared" ca="1" si="64"/>
        <v>8.0000000000000016E-2</v>
      </c>
      <c r="C1103" s="4">
        <f t="shared" ca="1" si="65"/>
        <v>980485611.00528014</v>
      </c>
      <c r="D1103" s="2"/>
      <c r="E1103" s="2"/>
    </row>
    <row r="1104" spans="1:5" x14ac:dyDescent="0.3">
      <c r="A1104" s="4">
        <v>497</v>
      </c>
      <c r="B1104" s="4">
        <f t="shared" ca="1" si="64"/>
        <v>4.0000000000000008E-2</v>
      </c>
      <c r="C1104" s="4">
        <f t="shared" ca="1" si="65"/>
        <v>490242805.50264007</v>
      </c>
    </row>
    <row r="1105" spans="1:5" x14ac:dyDescent="0.3">
      <c r="A1105" s="4">
        <v>498</v>
      </c>
      <c r="B1105" s="4">
        <f t="shared" ca="1" si="64"/>
        <v>0.2</v>
      </c>
      <c r="C1105" s="4">
        <f t="shared" ca="1" si="65"/>
        <v>2451214027.5132003</v>
      </c>
      <c r="D1105" s="2"/>
      <c r="E1105" s="2"/>
    </row>
    <row r="1106" spans="1:5" x14ac:dyDescent="0.3">
      <c r="A1106" s="4">
        <v>499</v>
      </c>
      <c r="B1106" s="4">
        <f t="shared" ca="1" si="64"/>
        <v>0.12</v>
      </c>
      <c r="C1106" s="4">
        <f t="shared" ca="1" si="65"/>
        <v>1470728416.50792</v>
      </c>
    </row>
    <row r="1107" spans="1:5" x14ac:dyDescent="0.3">
      <c r="A1107" s="4">
        <v>500</v>
      </c>
      <c r="B1107" s="4">
        <f t="shared" ca="1" si="64"/>
        <v>0.2</v>
      </c>
      <c r="C1107" s="4">
        <f t="shared" ca="1" si="65"/>
        <v>2451214027.5132003</v>
      </c>
    </row>
    <row r="1108" spans="1:5" x14ac:dyDescent="0.3">
      <c r="A1108" s="4">
        <v>501</v>
      </c>
      <c r="B1108" s="4">
        <f t="shared" ca="1" si="64"/>
        <v>0.32000000000000006</v>
      </c>
      <c r="C1108" s="4">
        <f t="shared" ca="1" si="65"/>
        <v>3921942444.0211205</v>
      </c>
    </row>
    <row r="1109" spans="1:5" x14ac:dyDescent="0.3">
      <c r="A1109" s="4">
        <v>502</v>
      </c>
      <c r="B1109" s="4">
        <f t="shared" ca="1" si="64"/>
        <v>4.0000000000000008E-2</v>
      </c>
      <c r="C1109" s="4">
        <f t="shared" ca="1" si="65"/>
        <v>490242805.50264007</v>
      </c>
    </row>
    <row r="1110" spans="1:5" x14ac:dyDescent="0.3">
      <c r="A1110" s="4">
        <v>503</v>
      </c>
      <c r="B1110" s="4">
        <f t="shared" ca="1" si="64"/>
        <v>0.16000000000000003</v>
      </c>
      <c r="C1110" s="4">
        <f t="shared" ca="1" si="65"/>
        <v>1960971222.0105603</v>
      </c>
      <c r="D1110" s="2"/>
      <c r="E1110" s="2"/>
    </row>
    <row r="1111" spans="1:5" x14ac:dyDescent="0.3">
      <c r="A1111" s="4">
        <v>504</v>
      </c>
      <c r="B1111" s="4">
        <f t="shared" ca="1" si="64"/>
        <v>8.0000000000000016E-2</v>
      </c>
      <c r="C1111" s="4">
        <f t="shared" ca="1" si="65"/>
        <v>980485611.00528014</v>
      </c>
    </row>
    <row r="1112" spans="1:5" x14ac:dyDescent="0.3">
      <c r="A1112" s="4">
        <v>505</v>
      </c>
      <c r="B1112" s="4">
        <f t="shared" ca="1" si="64"/>
        <v>0.24</v>
      </c>
      <c r="C1112" s="4">
        <f t="shared" ca="1" si="65"/>
        <v>2941456833.0158401</v>
      </c>
    </row>
    <row r="1113" spans="1:5" x14ac:dyDescent="0.3">
      <c r="A1113" s="4">
        <v>506</v>
      </c>
      <c r="B1113" s="4">
        <f t="shared" ca="1" si="64"/>
        <v>8.0000000000000016E-2</v>
      </c>
      <c r="C1113" s="4">
        <f t="shared" ca="1" si="65"/>
        <v>980485611.00528014</v>
      </c>
      <c r="D1113" s="2"/>
      <c r="E1113" s="2"/>
    </row>
    <row r="1114" spans="1:5" x14ac:dyDescent="0.3">
      <c r="A1114" s="4">
        <v>507</v>
      </c>
      <c r="B1114" s="4">
        <f t="shared" ca="1" si="64"/>
        <v>4.0000000000000008E-2</v>
      </c>
      <c r="C1114" s="4">
        <f t="shared" ca="1" si="65"/>
        <v>490242805.50264007</v>
      </c>
    </row>
    <row r="1115" spans="1:5" x14ac:dyDescent="0.3">
      <c r="A1115" s="4">
        <v>508</v>
      </c>
      <c r="B1115" s="4">
        <f t="shared" ca="1" si="64"/>
        <v>0.16000000000000003</v>
      </c>
      <c r="C1115" s="4">
        <f t="shared" ca="1" si="65"/>
        <v>1960971222.0105603</v>
      </c>
      <c r="D1115" s="2"/>
      <c r="E1115" s="2"/>
    </row>
    <row r="1116" spans="1:5" x14ac:dyDescent="0.3">
      <c r="A1116" s="4">
        <v>509</v>
      </c>
      <c r="B1116" s="4">
        <f t="shared" ca="1" si="64"/>
        <v>0.4</v>
      </c>
      <c r="C1116" s="4">
        <f t="shared" ca="1" si="65"/>
        <v>4902428055.0264006</v>
      </c>
    </row>
    <row r="1117" spans="1:5" x14ac:dyDescent="0.3">
      <c r="A1117" s="4">
        <v>510</v>
      </c>
      <c r="B1117" s="4">
        <f t="shared" ca="1" si="64"/>
        <v>0.24</v>
      </c>
      <c r="C1117" s="4">
        <f t="shared" ca="1" si="65"/>
        <v>2941456833.0158401</v>
      </c>
    </row>
    <row r="1118" spans="1:5" x14ac:dyDescent="0.3">
      <c r="A1118" s="4">
        <v>511</v>
      </c>
      <c r="B1118" s="4">
        <f t="shared" ca="1" si="64"/>
        <v>0.32000000000000006</v>
      </c>
      <c r="C1118" s="4">
        <f t="shared" ca="1" si="65"/>
        <v>3921942444.0211205</v>
      </c>
    </row>
    <row r="1119" spans="1:5" x14ac:dyDescent="0.3">
      <c r="A1119" s="4">
        <v>512</v>
      </c>
      <c r="B1119" s="4">
        <f t="shared" ca="1" si="64"/>
        <v>0.12</v>
      </c>
      <c r="C1119" s="4">
        <f t="shared" ca="1" si="65"/>
        <v>1470728416.50792</v>
      </c>
    </row>
    <row r="1120" spans="1:5" x14ac:dyDescent="0.3">
      <c r="A1120" s="4">
        <v>513</v>
      </c>
      <c r="B1120" s="4">
        <f t="shared" ref="B1120:B1183" ca="1" si="66">ROUND(RAND(),1)*$E$601</f>
        <v>0.16000000000000003</v>
      </c>
      <c r="C1120" s="4">
        <f t="shared" ref="C1120:C1183" ca="1" si="67">B1120*$E$600</f>
        <v>1960971222.0105603</v>
      </c>
      <c r="D1120" s="2"/>
      <c r="E1120" s="2"/>
    </row>
    <row r="1121" spans="1:5" x14ac:dyDescent="0.3">
      <c r="A1121" s="4">
        <v>514</v>
      </c>
      <c r="B1121" s="4">
        <f t="shared" ca="1" si="66"/>
        <v>8.0000000000000016E-2</v>
      </c>
      <c r="C1121" s="4">
        <f t="shared" ca="1" si="67"/>
        <v>980485611.00528014</v>
      </c>
    </row>
    <row r="1122" spans="1:5" x14ac:dyDescent="0.3">
      <c r="A1122" s="4">
        <v>515</v>
      </c>
      <c r="B1122" s="4">
        <f t="shared" ca="1" si="66"/>
        <v>8.0000000000000016E-2</v>
      </c>
      <c r="C1122" s="4">
        <f t="shared" ca="1" si="67"/>
        <v>980485611.00528014</v>
      </c>
    </row>
    <row r="1123" spans="1:5" x14ac:dyDescent="0.3">
      <c r="A1123" s="4">
        <v>516</v>
      </c>
      <c r="B1123" s="4">
        <f t="shared" ca="1" si="66"/>
        <v>0.36000000000000004</v>
      </c>
      <c r="C1123" s="4">
        <f t="shared" ca="1" si="67"/>
        <v>4412185249.5237608</v>
      </c>
      <c r="D1123" s="2"/>
      <c r="E1123" s="2"/>
    </row>
    <row r="1124" spans="1:5" x14ac:dyDescent="0.3">
      <c r="A1124" s="4">
        <v>517</v>
      </c>
      <c r="B1124" s="4">
        <f t="shared" ca="1" si="66"/>
        <v>0.27999999999999997</v>
      </c>
      <c r="C1124" s="4">
        <f t="shared" ca="1" si="67"/>
        <v>3431699638.5184798</v>
      </c>
    </row>
    <row r="1125" spans="1:5" x14ac:dyDescent="0.3">
      <c r="A1125" s="4">
        <v>518</v>
      </c>
      <c r="B1125" s="4">
        <f t="shared" ca="1" si="66"/>
        <v>0.2</v>
      </c>
      <c r="C1125" s="4">
        <f t="shared" ca="1" si="67"/>
        <v>2451214027.5132003</v>
      </c>
      <c r="D1125" s="2"/>
      <c r="E1125" s="2"/>
    </row>
    <row r="1126" spans="1:5" x14ac:dyDescent="0.3">
      <c r="A1126" s="4">
        <v>519</v>
      </c>
      <c r="B1126" s="4">
        <f t="shared" ca="1" si="66"/>
        <v>0.36000000000000004</v>
      </c>
      <c r="C1126" s="4">
        <f t="shared" ca="1" si="67"/>
        <v>4412185249.5237608</v>
      </c>
    </row>
    <row r="1127" spans="1:5" x14ac:dyDescent="0.3">
      <c r="A1127" s="4">
        <v>520</v>
      </c>
      <c r="B1127" s="4">
        <f t="shared" ca="1" si="66"/>
        <v>0.2</v>
      </c>
      <c r="C1127" s="4">
        <f t="shared" ca="1" si="67"/>
        <v>2451214027.5132003</v>
      </c>
    </row>
    <row r="1128" spans="1:5" x14ac:dyDescent="0.3">
      <c r="A1128" s="4">
        <v>521</v>
      </c>
      <c r="B1128" s="4">
        <f t="shared" ca="1" si="66"/>
        <v>0.16000000000000003</v>
      </c>
      <c r="C1128" s="4">
        <f t="shared" ca="1" si="67"/>
        <v>1960971222.0105603</v>
      </c>
    </row>
    <row r="1129" spans="1:5" x14ac:dyDescent="0.3">
      <c r="A1129" s="4">
        <v>522</v>
      </c>
      <c r="B1129" s="4">
        <f t="shared" ca="1" si="66"/>
        <v>0.12</v>
      </c>
      <c r="C1129" s="4">
        <f t="shared" ca="1" si="67"/>
        <v>1470728416.50792</v>
      </c>
    </row>
    <row r="1130" spans="1:5" x14ac:dyDescent="0.3">
      <c r="A1130" s="4">
        <v>523</v>
      </c>
      <c r="B1130" s="4">
        <f t="shared" ca="1" si="66"/>
        <v>0.36000000000000004</v>
      </c>
      <c r="C1130" s="4">
        <f t="shared" ca="1" si="67"/>
        <v>4412185249.5237608</v>
      </c>
      <c r="D1130" s="2"/>
      <c r="E1130" s="2"/>
    </row>
    <row r="1131" spans="1:5" x14ac:dyDescent="0.3">
      <c r="A1131" s="4">
        <v>524</v>
      </c>
      <c r="B1131" s="4">
        <f t="shared" ca="1" si="66"/>
        <v>0.36000000000000004</v>
      </c>
      <c r="C1131" s="4">
        <f t="shared" ca="1" si="67"/>
        <v>4412185249.5237608</v>
      </c>
    </row>
    <row r="1132" spans="1:5" x14ac:dyDescent="0.3">
      <c r="A1132" s="4">
        <v>525</v>
      </c>
      <c r="B1132" s="4">
        <f t="shared" ca="1" si="66"/>
        <v>4.0000000000000008E-2</v>
      </c>
      <c r="C1132" s="4">
        <f t="shared" ca="1" si="67"/>
        <v>490242805.50264007</v>
      </c>
    </row>
    <row r="1133" spans="1:5" x14ac:dyDescent="0.3">
      <c r="A1133" s="4">
        <v>526</v>
      </c>
      <c r="B1133" s="4">
        <f t="shared" ca="1" si="66"/>
        <v>0.2</v>
      </c>
      <c r="C1133" s="4">
        <f t="shared" ca="1" si="67"/>
        <v>2451214027.5132003</v>
      </c>
      <c r="D1133" s="2"/>
      <c r="E1133" s="2"/>
    </row>
    <row r="1134" spans="1:5" x14ac:dyDescent="0.3">
      <c r="A1134" s="4">
        <v>527</v>
      </c>
      <c r="B1134" s="4">
        <f t="shared" ca="1" si="66"/>
        <v>0.16000000000000003</v>
      </c>
      <c r="C1134" s="4">
        <f t="shared" ca="1" si="67"/>
        <v>1960971222.0105603</v>
      </c>
    </row>
    <row r="1135" spans="1:5" x14ac:dyDescent="0.3">
      <c r="A1135" s="4">
        <v>528</v>
      </c>
      <c r="B1135" s="4">
        <f t="shared" ca="1" si="66"/>
        <v>0.12</v>
      </c>
      <c r="C1135" s="4">
        <f t="shared" ca="1" si="67"/>
        <v>1470728416.50792</v>
      </c>
      <c r="D1135" s="2"/>
      <c r="E1135" s="2"/>
    </row>
    <row r="1136" spans="1:5" x14ac:dyDescent="0.3">
      <c r="A1136" s="4">
        <v>529</v>
      </c>
      <c r="B1136" s="4">
        <f t="shared" ca="1" si="66"/>
        <v>0.24</v>
      </c>
      <c r="C1136" s="4">
        <f t="shared" ca="1" si="67"/>
        <v>2941456833.0158401</v>
      </c>
    </row>
    <row r="1137" spans="1:5" x14ac:dyDescent="0.3">
      <c r="A1137" s="4">
        <v>530</v>
      </c>
      <c r="B1137" s="4">
        <f t="shared" ca="1" si="66"/>
        <v>0.12</v>
      </c>
      <c r="C1137" s="4">
        <f t="shared" ca="1" si="67"/>
        <v>1470728416.50792</v>
      </c>
    </row>
    <row r="1138" spans="1:5" x14ac:dyDescent="0.3">
      <c r="A1138" s="4">
        <v>531</v>
      </c>
      <c r="B1138" s="4">
        <f t="shared" ca="1" si="66"/>
        <v>0</v>
      </c>
      <c r="C1138" s="4">
        <f t="shared" ca="1" si="67"/>
        <v>0</v>
      </c>
    </row>
    <row r="1139" spans="1:5" x14ac:dyDescent="0.3">
      <c r="A1139" s="4">
        <v>532</v>
      </c>
      <c r="B1139" s="4">
        <f t="shared" ca="1" si="66"/>
        <v>0.36000000000000004</v>
      </c>
      <c r="C1139" s="4">
        <f t="shared" ca="1" si="67"/>
        <v>4412185249.5237608</v>
      </c>
    </row>
    <row r="1140" spans="1:5" x14ac:dyDescent="0.3">
      <c r="A1140" s="4">
        <v>533</v>
      </c>
      <c r="B1140" s="4">
        <f t="shared" ca="1" si="66"/>
        <v>0.2</v>
      </c>
      <c r="C1140" s="4">
        <f t="shared" ca="1" si="67"/>
        <v>2451214027.5132003</v>
      </c>
      <c r="D1140" s="2"/>
      <c r="E1140" s="2"/>
    </row>
    <row r="1141" spans="1:5" x14ac:dyDescent="0.3">
      <c r="A1141" s="4">
        <v>534</v>
      </c>
      <c r="B1141" s="4">
        <f t="shared" ca="1" si="66"/>
        <v>0.36000000000000004</v>
      </c>
      <c r="C1141" s="4">
        <f t="shared" ca="1" si="67"/>
        <v>4412185249.5237608</v>
      </c>
    </row>
    <row r="1142" spans="1:5" x14ac:dyDescent="0.3">
      <c r="A1142" s="4">
        <v>535</v>
      </c>
      <c r="B1142" s="4">
        <f t="shared" ca="1" si="66"/>
        <v>0.2</v>
      </c>
      <c r="C1142" s="4">
        <f t="shared" ca="1" si="67"/>
        <v>2451214027.5132003</v>
      </c>
    </row>
    <row r="1143" spans="1:5" x14ac:dyDescent="0.3">
      <c r="A1143" s="4">
        <v>536</v>
      </c>
      <c r="B1143" s="4">
        <f t="shared" ca="1" si="66"/>
        <v>0.36000000000000004</v>
      </c>
      <c r="C1143" s="4">
        <f t="shared" ca="1" si="67"/>
        <v>4412185249.5237608</v>
      </c>
      <c r="D1143" s="2"/>
      <c r="E1143" s="2"/>
    </row>
    <row r="1144" spans="1:5" x14ac:dyDescent="0.3">
      <c r="A1144" s="4">
        <v>537</v>
      </c>
      <c r="B1144" s="4">
        <f t="shared" ca="1" si="66"/>
        <v>8.0000000000000016E-2</v>
      </c>
      <c r="C1144" s="4">
        <f t="shared" ca="1" si="67"/>
        <v>980485611.00528014</v>
      </c>
    </row>
    <row r="1145" spans="1:5" x14ac:dyDescent="0.3">
      <c r="A1145" s="4">
        <v>538</v>
      </c>
      <c r="B1145" s="4">
        <f t="shared" ca="1" si="66"/>
        <v>0.27999999999999997</v>
      </c>
      <c r="C1145" s="4">
        <f t="shared" ca="1" si="67"/>
        <v>3431699638.5184798</v>
      </c>
      <c r="D1145" s="2"/>
      <c r="E1145" s="2"/>
    </row>
    <row r="1146" spans="1:5" x14ac:dyDescent="0.3">
      <c r="A1146" s="4">
        <v>539</v>
      </c>
      <c r="B1146" s="4">
        <f t="shared" ca="1" si="66"/>
        <v>8.0000000000000016E-2</v>
      </c>
      <c r="C1146" s="4">
        <f t="shared" ca="1" si="67"/>
        <v>980485611.00528014</v>
      </c>
    </row>
    <row r="1147" spans="1:5" x14ac:dyDescent="0.3">
      <c r="A1147" s="4">
        <v>540</v>
      </c>
      <c r="B1147" s="4">
        <f t="shared" ca="1" si="66"/>
        <v>0.27999999999999997</v>
      </c>
      <c r="C1147" s="4">
        <f t="shared" ca="1" si="67"/>
        <v>3431699638.5184798</v>
      </c>
    </row>
    <row r="1148" spans="1:5" x14ac:dyDescent="0.3">
      <c r="A1148" s="4">
        <v>541</v>
      </c>
      <c r="B1148" s="4">
        <f t="shared" ca="1" si="66"/>
        <v>0.36000000000000004</v>
      </c>
      <c r="C1148" s="4">
        <f t="shared" ca="1" si="67"/>
        <v>4412185249.5237608</v>
      </c>
    </row>
    <row r="1149" spans="1:5" x14ac:dyDescent="0.3">
      <c r="A1149" s="4">
        <v>542</v>
      </c>
      <c r="B1149" s="4">
        <f t="shared" ca="1" si="66"/>
        <v>4.0000000000000008E-2</v>
      </c>
      <c r="C1149" s="4">
        <f t="shared" ca="1" si="67"/>
        <v>490242805.50264007</v>
      </c>
    </row>
    <row r="1150" spans="1:5" x14ac:dyDescent="0.3">
      <c r="A1150" s="4">
        <v>543</v>
      </c>
      <c r="B1150" s="4">
        <f t="shared" ca="1" si="66"/>
        <v>0.24</v>
      </c>
      <c r="C1150" s="4">
        <f t="shared" ca="1" si="67"/>
        <v>2941456833.0158401</v>
      </c>
      <c r="D1150" s="2"/>
      <c r="E1150" s="2"/>
    </row>
    <row r="1151" spans="1:5" x14ac:dyDescent="0.3">
      <c r="A1151" s="4">
        <v>544</v>
      </c>
      <c r="B1151" s="4">
        <f t="shared" ca="1" si="66"/>
        <v>0.4</v>
      </c>
      <c r="C1151" s="4">
        <f t="shared" ca="1" si="67"/>
        <v>4902428055.0264006</v>
      </c>
    </row>
    <row r="1152" spans="1:5" x14ac:dyDescent="0.3">
      <c r="A1152" s="4">
        <v>545</v>
      </c>
      <c r="B1152" s="4">
        <f t="shared" ca="1" si="66"/>
        <v>0.12</v>
      </c>
      <c r="C1152" s="4">
        <f t="shared" ca="1" si="67"/>
        <v>1470728416.50792</v>
      </c>
    </row>
    <row r="1153" spans="1:5" x14ac:dyDescent="0.3">
      <c r="A1153" s="4">
        <v>546</v>
      </c>
      <c r="B1153" s="4">
        <f t="shared" ca="1" si="66"/>
        <v>0.36000000000000004</v>
      </c>
      <c r="C1153" s="4">
        <f t="shared" ca="1" si="67"/>
        <v>4412185249.5237608</v>
      </c>
      <c r="D1153" s="2"/>
      <c r="E1153" s="2"/>
    </row>
    <row r="1154" spans="1:5" x14ac:dyDescent="0.3">
      <c r="A1154" s="4">
        <v>547</v>
      </c>
      <c r="B1154" s="4">
        <f t="shared" ca="1" si="66"/>
        <v>0.4</v>
      </c>
      <c r="C1154" s="4">
        <f t="shared" ca="1" si="67"/>
        <v>4902428055.0264006</v>
      </c>
    </row>
    <row r="1155" spans="1:5" x14ac:dyDescent="0.3">
      <c r="A1155" s="4">
        <v>548</v>
      </c>
      <c r="B1155" s="4">
        <f t="shared" ca="1" si="66"/>
        <v>4.0000000000000008E-2</v>
      </c>
      <c r="C1155" s="4">
        <f t="shared" ca="1" si="67"/>
        <v>490242805.50264007</v>
      </c>
      <c r="D1155" s="2"/>
      <c r="E1155" s="2"/>
    </row>
    <row r="1156" spans="1:5" x14ac:dyDescent="0.3">
      <c r="A1156" s="4">
        <v>549</v>
      </c>
      <c r="B1156" s="4">
        <f t="shared" ca="1" si="66"/>
        <v>0.36000000000000004</v>
      </c>
      <c r="C1156" s="4">
        <f t="shared" ca="1" si="67"/>
        <v>4412185249.5237608</v>
      </c>
    </row>
    <row r="1157" spans="1:5" x14ac:dyDescent="0.3">
      <c r="A1157" s="4">
        <v>550</v>
      </c>
      <c r="B1157" s="4">
        <f t="shared" ca="1" si="66"/>
        <v>0.12</v>
      </c>
      <c r="C1157" s="4">
        <f t="shared" ca="1" si="67"/>
        <v>1470728416.50792</v>
      </c>
    </row>
    <row r="1158" spans="1:5" x14ac:dyDescent="0.3">
      <c r="A1158" s="4">
        <v>551</v>
      </c>
      <c r="B1158" s="4">
        <f t="shared" ca="1" si="66"/>
        <v>0.4</v>
      </c>
      <c r="C1158" s="4">
        <f t="shared" ca="1" si="67"/>
        <v>4902428055.0264006</v>
      </c>
    </row>
    <row r="1159" spans="1:5" x14ac:dyDescent="0.3">
      <c r="A1159" s="4">
        <v>552</v>
      </c>
      <c r="B1159" s="4">
        <f t="shared" ca="1" si="66"/>
        <v>0.24</v>
      </c>
      <c r="C1159" s="4">
        <f t="shared" ca="1" si="67"/>
        <v>2941456833.0158401</v>
      </c>
    </row>
    <row r="1160" spans="1:5" x14ac:dyDescent="0.3">
      <c r="A1160" s="4">
        <v>553</v>
      </c>
      <c r="B1160" s="4">
        <f t="shared" ca="1" si="66"/>
        <v>0</v>
      </c>
      <c r="C1160" s="4">
        <f t="shared" ca="1" si="67"/>
        <v>0</v>
      </c>
      <c r="D1160" s="2"/>
      <c r="E1160" s="2"/>
    </row>
    <row r="1161" spans="1:5" x14ac:dyDescent="0.3">
      <c r="A1161" s="4">
        <v>554</v>
      </c>
      <c r="B1161" s="4">
        <f t="shared" ca="1" si="66"/>
        <v>4.0000000000000008E-2</v>
      </c>
      <c r="C1161" s="4">
        <f t="shared" ca="1" si="67"/>
        <v>490242805.50264007</v>
      </c>
    </row>
    <row r="1162" spans="1:5" x14ac:dyDescent="0.3">
      <c r="A1162" s="4">
        <v>555</v>
      </c>
      <c r="B1162" s="4">
        <f t="shared" ca="1" si="66"/>
        <v>0.4</v>
      </c>
      <c r="C1162" s="4">
        <f t="shared" ca="1" si="67"/>
        <v>4902428055.0264006</v>
      </c>
    </row>
    <row r="1163" spans="1:5" x14ac:dyDescent="0.3">
      <c r="A1163" s="4">
        <v>556</v>
      </c>
      <c r="B1163" s="4">
        <f t="shared" ca="1" si="66"/>
        <v>4.0000000000000008E-2</v>
      </c>
      <c r="C1163" s="4">
        <f t="shared" ca="1" si="67"/>
        <v>490242805.50264007</v>
      </c>
      <c r="D1163" s="2"/>
      <c r="E1163" s="2"/>
    </row>
    <row r="1164" spans="1:5" x14ac:dyDescent="0.3">
      <c r="A1164" s="4">
        <v>557</v>
      </c>
      <c r="B1164" s="4">
        <f t="shared" ca="1" si="66"/>
        <v>0.27999999999999997</v>
      </c>
      <c r="C1164" s="4">
        <f t="shared" ca="1" si="67"/>
        <v>3431699638.5184798</v>
      </c>
    </row>
    <row r="1165" spans="1:5" x14ac:dyDescent="0.3">
      <c r="A1165" s="4">
        <v>558</v>
      </c>
      <c r="B1165" s="4">
        <f t="shared" ca="1" si="66"/>
        <v>0.32000000000000006</v>
      </c>
      <c r="C1165" s="4">
        <f t="shared" ca="1" si="67"/>
        <v>3921942444.0211205</v>
      </c>
      <c r="D1165" s="2"/>
      <c r="E1165" s="2"/>
    </row>
    <row r="1166" spans="1:5" x14ac:dyDescent="0.3">
      <c r="A1166" s="4">
        <v>559</v>
      </c>
      <c r="B1166" s="4">
        <f t="shared" ca="1" si="66"/>
        <v>4.0000000000000008E-2</v>
      </c>
      <c r="C1166" s="4">
        <f t="shared" ca="1" si="67"/>
        <v>490242805.50264007</v>
      </c>
    </row>
    <row r="1167" spans="1:5" x14ac:dyDescent="0.3">
      <c r="A1167" s="4">
        <v>560</v>
      </c>
      <c r="B1167" s="4">
        <f t="shared" ca="1" si="66"/>
        <v>0.4</v>
      </c>
      <c r="C1167" s="4">
        <f t="shared" ca="1" si="67"/>
        <v>4902428055.0264006</v>
      </c>
    </row>
    <row r="1168" spans="1:5" x14ac:dyDescent="0.3">
      <c r="A1168" s="4">
        <v>561</v>
      </c>
      <c r="B1168" s="4">
        <f t="shared" ca="1" si="66"/>
        <v>0.12</v>
      </c>
      <c r="C1168" s="4">
        <f t="shared" ca="1" si="67"/>
        <v>1470728416.50792</v>
      </c>
    </row>
    <row r="1169" spans="1:5" x14ac:dyDescent="0.3">
      <c r="A1169" s="4">
        <v>562</v>
      </c>
      <c r="B1169" s="4">
        <f t="shared" ca="1" si="66"/>
        <v>0.27999999999999997</v>
      </c>
      <c r="C1169" s="4">
        <f t="shared" ca="1" si="67"/>
        <v>3431699638.5184798</v>
      </c>
    </row>
    <row r="1170" spans="1:5" x14ac:dyDescent="0.3">
      <c r="A1170" s="4">
        <v>563</v>
      </c>
      <c r="B1170" s="4">
        <f t="shared" ca="1" si="66"/>
        <v>0</v>
      </c>
      <c r="C1170" s="4">
        <f t="shared" ca="1" si="67"/>
        <v>0</v>
      </c>
      <c r="D1170" s="2"/>
      <c r="E1170" s="2"/>
    </row>
    <row r="1171" spans="1:5" x14ac:dyDescent="0.3">
      <c r="A1171" s="4">
        <v>564</v>
      </c>
      <c r="B1171" s="4">
        <f t="shared" ca="1" si="66"/>
        <v>0.32000000000000006</v>
      </c>
      <c r="C1171" s="4">
        <f t="shared" ca="1" si="67"/>
        <v>3921942444.0211205</v>
      </c>
    </row>
    <row r="1172" spans="1:5" x14ac:dyDescent="0.3">
      <c r="A1172" s="4">
        <v>565</v>
      </c>
      <c r="B1172" s="4">
        <f t="shared" ca="1" si="66"/>
        <v>0.12</v>
      </c>
      <c r="C1172" s="4">
        <f t="shared" ca="1" si="67"/>
        <v>1470728416.50792</v>
      </c>
    </row>
    <row r="1173" spans="1:5" x14ac:dyDescent="0.3">
      <c r="A1173" s="4">
        <v>566</v>
      </c>
      <c r="B1173" s="4">
        <f t="shared" ca="1" si="66"/>
        <v>4.0000000000000008E-2</v>
      </c>
      <c r="C1173" s="4">
        <f t="shared" ca="1" si="67"/>
        <v>490242805.50264007</v>
      </c>
      <c r="D1173" s="2"/>
      <c r="E1173" s="2"/>
    </row>
    <row r="1174" spans="1:5" x14ac:dyDescent="0.3">
      <c r="A1174" s="4">
        <v>567</v>
      </c>
      <c r="B1174" s="4">
        <f t="shared" ca="1" si="66"/>
        <v>0.12</v>
      </c>
      <c r="C1174" s="4">
        <f t="shared" ca="1" si="67"/>
        <v>1470728416.50792</v>
      </c>
    </row>
    <row r="1175" spans="1:5" x14ac:dyDescent="0.3">
      <c r="A1175" s="4">
        <v>568</v>
      </c>
      <c r="B1175" s="4">
        <f t="shared" ca="1" si="66"/>
        <v>0.36000000000000004</v>
      </c>
      <c r="C1175" s="4">
        <f t="shared" ca="1" si="67"/>
        <v>4412185249.5237608</v>
      </c>
      <c r="D1175" s="2"/>
      <c r="E1175" s="2"/>
    </row>
    <row r="1176" spans="1:5" x14ac:dyDescent="0.3">
      <c r="A1176" s="4">
        <v>569</v>
      </c>
      <c r="B1176" s="4">
        <f t="shared" ca="1" si="66"/>
        <v>0.36000000000000004</v>
      </c>
      <c r="C1176" s="4">
        <f t="shared" ca="1" si="67"/>
        <v>4412185249.5237608</v>
      </c>
    </row>
    <row r="1177" spans="1:5" x14ac:dyDescent="0.3">
      <c r="A1177" s="4">
        <v>570</v>
      </c>
      <c r="B1177" s="4">
        <f t="shared" ca="1" si="66"/>
        <v>0.16000000000000003</v>
      </c>
      <c r="C1177" s="4">
        <f t="shared" ca="1" si="67"/>
        <v>1960971222.0105603</v>
      </c>
    </row>
    <row r="1178" spans="1:5" x14ac:dyDescent="0.3">
      <c r="A1178" s="4">
        <v>571</v>
      </c>
      <c r="B1178" s="4">
        <f t="shared" ca="1" si="66"/>
        <v>4.0000000000000008E-2</v>
      </c>
      <c r="C1178" s="4">
        <f t="shared" ca="1" si="67"/>
        <v>490242805.50264007</v>
      </c>
    </row>
    <row r="1179" spans="1:5" x14ac:dyDescent="0.3">
      <c r="A1179" s="4">
        <v>572</v>
      </c>
      <c r="B1179" s="4">
        <f t="shared" ca="1" si="66"/>
        <v>0.27999999999999997</v>
      </c>
      <c r="C1179" s="4">
        <f t="shared" ca="1" si="67"/>
        <v>3431699638.5184798</v>
      </c>
    </row>
    <row r="1180" spans="1:5" x14ac:dyDescent="0.3">
      <c r="A1180" s="4">
        <v>573</v>
      </c>
      <c r="B1180" s="4">
        <f t="shared" ca="1" si="66"/>
        <v>4.0000000000000008E-2</v>
      </c>
      <c r="C1180" s="4">
        <f t="shared" ca="1" si="67"/>
        <v>490242805.50264007</v>
      </c>
      <c r="D1180" s="2"/>
      <c r="E1180" s="2"/>
    </row>
    <row r="1181" spans="1:5" x14ac:dyDescent="0.3">
      <c r="A1181" s="4">
        <v>574</v>
      </c>
      <c r="B1181" s="4">
        <f t="shared" ca="1" si="66"/>
        <v>0.36000000000000004</v>
      </c>
      <c r="C1181" s="4">
        <f t="shared" ca="1" si="67"/>
        <v>4412185249.5237608</v>
      </c>
    </row>
    <row r="1182" spans="1:5" x14ac:dyDescent="0.3">
      <c r="A1182" s="4">
        <v>575</v>
      </c>
      <c r="B1182" s="4">
        <f t="shared" ca="1" si="66"/>
        <v>0.36000000000000004</v>
      </c>
      <c r="C1182" s="4">
        <f t="shared" ca="1" si="67"/>
        <v>4412185249.5237608</v>
      </c>
    </row>
    <row r="1183" spans="1:5" x14ac:dyDescent="0.3">
      <c r="A1183" s="4">
        <v>576</v>
      </c>
      <c r="B1183" s="4">
        <f t="shared" ca="1" si="66"/>
        <v>0.16000000000000003</v>
      </c>
      <c r="C1183" s="4">
        <f t="shared" ca="1" si="67"/>
        <v>1960971222.0105603</v>
      </c>
      <c r="D1183" s="2"/>
      <c r="E1183" s="2"/>
    </row>
    <row r="1184" spans="1:5" x14ac:dyDescent="0.3">
      <c r="A1184" s="4">
        <v>577</v>
      </c>
      <c r="B1184" s="4">
        <f t="shared" ref="B1184:B1247" ca="1" si="68">ROUND(RAND(),1)*$E$601</f>
        <v>8.0000000000000016E-2</v>
      </c>
      <c r="C1184" s="4">
        <f t="shared" ref="C1184:C1247" ca="1" si="69">B1184*$E$600</f>
        <v>980485611.00528014</v>
      </c>
    </row>
    <row r="1185" spans="1:5" x14ac:dyDescent="0.3">
      <c r="A1185" s="4">
        <v>578</v>
      </c>
      <c r="B1185" s="4">
        <f t="shared" ca="1" si="68"/>
        <v>8.0000000000000016E-2</v>
      </c>
      <c r="C1185" s="4">
        <f t="shared" ca="1" si="69"/>
        <v>980485611.00528014</v>
      </c>
      <c r="D1185" s="2"/>
      <c r="E1185" s="2"/>
    </row>
    <row r="1186" spans="1:5" x14ac:dyDescent="0.3">
      <c r="A1186" s="4">
        <v>579</v>
      </c>
      <c r="B1186" s="4">
        <f t="shared" ca="1" si="68"/>
        <v>0</v>
      </c>
      <c r="C1186" s="4">
        <f t="shared" ca="1" si="69"/>
        <v>0</v>
      </c>
    </row>
    <row r="1187" spans="1:5" x14ac:dyDescent="0.3">
      <c r="A1187" s="4">
        <v>580</v>
      </c>
      <c r="B1187" s="4">
        <f t="shared" ca="1" si="68"/>
        <v>0.16000000000000003</v>
      </c>
      <c r="C1187" s="4">
        <f t="shared" ca="1" si="69"/>
        <v>1960971222.0105603</v>
      </c>
    </row>
    <row r="1188" spans="1:5" x14ac:dyDescent="0.3">
      <c r="A1188" s="4">
        <v>581</v>
      </c>
      <c r="B1188" s="4">
        <f t="shared" ca="1" si="68"/>
        <v>0.32000000000000006</v>
      </c>
      <c r="C1188" s="4">
        <f t="shared" ca="1" si="69"/>
        <v>3921942444.0211205</v>
      </c>
    </row>
    <row r="1189" spans="1:5" x14ac:dyDescent="0.3">
      <c r="A1189" s="4">
        <v>582</v>
      </c>
      <c r="B1189" s="4">
        <f t="shared" ca="1" si="68"/>
        <v>4.0000000000000008E-2</v>
      </c>
      <c r="C1189" s="4">
        <f t="shared" ca="1" si="69"/>
        <v>490242805.50264007</v>
      </c>
    </row>
    <row r="1190" spans="1:5" x14ac:dyDescent="0.3">
      <c r="A1190" s="4">
        <v>583</v>
      </c>
      <c r="B1190" s="4">
        <f t="shared" ca="1" si="68"/>
        <v>4.0000000000000008E-2</v>
      </c>
      <c r="C1190" s="4">
        <f t="shared" ca="1" si="69"/>
        <v>490242805.50264007</v>
      </c>
      <c r="D1190" s="2"/>
      <c r="E1190" s="2"/>
    </row>
    <row r="1191" spans="1:5" x14ac:dyDescent="0.3">
      <c r="A1191" s="4">
        <v>584</v>
      </c>
      <c r="B1191" s="4">
        <f t="shared" ca="1" si="68"/>
        <v>0.4</v>
      </c>
      <c r="C1191" s="4">
        <f t="shared" ca="1" si="69"/>
        <v>4902428055.0264006</v>
      </c>
    </row>
    <row r="1192" spans="1:5" x14ac:dyDescent="0.3">
      <c r="A1192" s="4">
        <v>585</v>
      </c>
      <c r="B1192" s="4">
        <f t="shared" ca="1" si="68"/>
        <v>0.32000000000000006</v>
      </c>
      <c r="C1192" s="4">
        <f t="shared" ca="1" si="69"/>
        <v>3921942444.0211205</v>
      </c>
    </row>
    <row r="1193" spans="1:5" x14ac:dyDescent="0.3">
      <c r="A1193" s="4">
        <v>586</v>
      </c>
      <c r="B1193" s="4">
        <f t="shared" ca="1" si="68"/>
        <v>0.32000000000000006</v>
      </c>
      <c r="C1193" s="4">
        <f t="shared" ca="1" si="69"/>
        <v>3921942444.0211205</v>
      </c>
      <c r="D1193" s="2"/>
      <c r="E1193" s="2"/>
    </row>
    <row r="1194" spans="1:5" x14ac:dyDescent="0.3">
      <c r="A1194" s="4">
        <v>587</v>
      </c>
      <c r="B1194" s="4">
        <f t="shared" ca="1" si="68"/>
        <v>0.16000000000000003</v>
      </c>
      <c r="C1194" s="4">
        <f t="shared" ca="1" si="69"/>
        <v>1960971222.0105603</v>
      </c>
    </row>
    <row r="1195" spans="1:5" x14ac:dyDescent="0.3">
      <c r="A1195" s="4">
        <v>588</v>
      </c>
      <c r="B1195" s="4">
        <f t="shared" ca="1" si="68"/>
        <v>8.0000000000000016E-2</v>
      </c>
      <c r="C1195" s="4">
        <f t="shared" ca="1" si="69"/>
        <v>980485611.00528014</v>
      </c>
      <c r="D1195" s="2"/>
      <c r="E1195" s="2"/>
    </row>
    <row r="1196" spans="1:5" x14ac:dyDescent="0.3">
      <c r="A1196" s="4">
        <v>589</v>
      </c>
      <c r="B1196" s="4">
        <f t="shared" ca="1" si="68"/>
        <v>0.16000000000000003</v>
      </c>
      <c r="C1196" s="4">
        <f t="shared" ca="1" si="69"/>
        <v>1960971222.0105603</v>
      </c>
    </row>
    <row r="1197" spans="1:5" x14ac:dyDescent="0.3">
      <c r="A1197" s="4">
        <v>590</v>
      </c>
      <c r="B1197" s="4">
        <f t="shared" ca="1" si="68"/>
        <v>0.32000000000000006</v>
      </c>
      <c r="C1197" s="4">
        <f t="shared" ca="1" si="69"/>
        <v>3921942444.0211205</v>
      </c>
    </row>
    <row r="1198" spans="1:5" x14ac:dyDescent="0.3">
      <c r="A1198" s="4">
        <v>591</v>
      </c>
      <c r="B1198" s="4">
        <f t="shared" ca="1" si="68"/>
        <v>0.32000000000000006</v>
      </c>
      <c r="C1198" s="4">
        <f t="shared" ca="1" si="69"/>
        <v>3921942444.0211205</v>
      </c>
    </row>
    <row r="1199" spans="1:5" x14ac:dyDescent="0.3">
      <c r="A1199" s="4">
        <v>592</v>
      </c>
      <c r="B1199" s="4">
        <f t="shared" ca="1" si="68"/>
        <v>8.0000000000000016E-2</v>
      </c>
      <c r="C1199" s="4">
        <f t="shared" ca="1" si="69"/>
        <v>980485611.00528014</v>
      </c>
    </row>
    <row r="1200" spans="1:5" x14ac:dyDescent="0.3">
      <c r="A1200" s="4">
        <v>593</v>
      </c>
      <c r="B1200" s="4">
        <f t="shared" ca="1" si="68"/>
        <v>0.16000000000000003</v>
      </c>
      <c r="C1200" s="4">
        <f t="shared" ca="1" si="69"/>
        <v>1960971222.0105603</v>
      </c>
      <c r="D1200" s="2"/>
      <c r="E1200" s="2"/>
    </row>
    <row r="1201" spans="1:5" x14ac:dyDescent="0.3">
      <c r="A1201" s="4">
        <v>594</v>
      </c>
      <c r="B1201" s="4">
        <f t="shared" ca="1" si="68"/>
        <v>0.32000000000000006</v>
      </c>
      <c r="C1201" s="4">
        <f t="shared" ca="1" si="69"/>
        <v>3921942444.0211205</v>
      </c>
    </row>
    <row r="1202" spans="1:5" x14ac:dyDescent="0.3">
      <c r="A1202" s="4">
        <v>595</v>
      </c>
      <c r="B1202" s="4">
        <f t="shared" ca="1" si="68"/>
        <v>0.12</v>
      </c>
      <c r="C1202" s="4">
        <f t="shared" ca="1" si="69"/>
        <v>1470728416.50792</v>
      </c>
    </row>
    <row r="1203" spans="1:5" x14ac:dyDescent="0.3">
      <c r="A1203" s="4">
        <v>596</v>
      </c>
      <c r="B1203" s="4">
        <f t="shared" ca="1" si="68"/>
        <v>0.4</v>
      </c>
      <c r="C1203" s="4">
        <f t="shared" ca="1" si="69"/>
        <v>4902428055.0264006</v>
      </c>
      <c r="D1203" s="2"/>
      <c r="E1203" s="2"/>
    </row>
    <row r="1204" spans="1:5" x14ac:dyDescent="0.3">
      <c r="A1204" s="4">
        <v>597</v>
      </c>
      <c r="B1204" s="4">
        <f t="shared" ca="1" si="68"/>
        <v>0</v>
      </c>
      <c r="C1204" s="4">
        <f t="shared" ca="1" si="69"/>
        <v>0</v>
      </c>
    </row>
    <row r="1205" spans="1:5" x14ac:dyDescent="0.3">
      <c r="A1205" s="4">
        <v>598</v>
      </c>
      <c r="B1205" s="4">
        <f t="shared" ca="1" si="68"/>
        <v>0.24</v>
      </c>
      <c r="C1205" s="4">
        <f t="shared" ca="1" si="69"/>
        <v>2941456833.0158401</v>
      </c>
      <c r="D1205" s="2"/>
      <c r="E1205" s="2"/>
    </row>
    <row r="1206" spans="1:5" x14ac:dyDescent="0.3">
      <c r="A1206" s="4">
        <v>599</v>
      </c>
      <c r="B1206" s="4">
        <f t="shared" ca="1" si="68"/>
        <v>0.32000000000000006</v>
      </c>
      <c r="C1206" s="4">
        <f t="shared" ca="1" si="69"/>
        <v>3921942444.0211205</v>
      </c>
    </row>
    <row r="1207" spans="1:5" x14ac:dyDescent="0.3">
      <c r="A1207" s="4">
        <v>600</v>
      </c>
      <c r="B1207" s="4">
        <f t="shared" ca="1" si="68"/>
        <v>0.36000000000000004</v>
      </c>
      <c r="C1207" s="4">
        <f t="shared" ca="1" si="69"/>
        <v>4412185249.5237608</v>
      </c>
    </row>
    <row r="1208" spans="1:5" x14ac:dyDescent="0.3">
      <c r="A1208" s="4">
        <v>601</v>
      </c>
      <c r="B1208" s="4">
        <f t="shared" ca="1" si="68"/>
        <v>0.2</v>
      </c>
      <c r="C1208" s="4">
        <f t="shared" ca="1" si="69"/>
        <v>2451214027.5132003</v>
      </c>
    </row>
    <row r="1209" spans="1:5" x14ac:dyDescent="0.3">
      <c r="A1209" s="4">
        <v>602</v>
      </c>
      <c r="B1209" s="4">
        <f t="shared" ca="1" si="68"/>
        <v>0.36000000000000004</v>
      </c>
      <c r="C1209" s="4">
        <f t="shared" ca="1" si="69"/>
        <v>4412185249.5237608</v>
      </c>
    </row>
    <row r="1210" spans="1:5" x14ac:dyDescent="0.3">
      <c r="A1210" s="4">
        <v>603</v>
      </c>
      <c r="B1210" s="4">
        <f t="shared" ca="1" si="68"/>
        <v>0.16000000000000003</v>
      </c>
      <c r="C1210" s="4">
        <f t="shared" ca="1" si="69"/>
        <v>1960971222.0105603</v>
      </c>
      <c r="D1210" s="2"/>
      <c r="E1210" s="2"/>
    </row>
    <row r="1211" spans="1:5" x14ac:dyDescent="0.3">
      <c r="A1211" s="4">
        <v>604</v>
      </c>
      <c r="B1211" s="4">
        <f t="shared" ca="1" si="68"/>
        <v>8.0000000000000016E-2</v>
      </c>
      <c r="C1211" s="4">
        <f t="shared" ca="1" si="69"/>
        <v>980485611.00528014</v>
      </c>
    </row>
    <row r="1212" spans="1:5" x14ac:dyDescent="0.3">
      <c r="A1212" s="4">
        <v>605</v>
      </c>
      <c r="B1212" s="4">
        <f t="shared" ca="1" si="68"/>
        <v>0.2</v>
      </c>
      <c r="C1212" s="4">
        <f t="shared" ca="1" si="69"/>
        <v>2451214027.5132003</v>
      </c>
    </row>
    <row r="1213" spans="1:5" x14ac:dyDescent="0.3">
      <c r="A1213" s="4">
        <v>606</v>
      </c>
      <c r="B1213" s="4">
        <f t="shared" ca="1" si="68"/>
        <v>0.16000000000000003</v>
      </c>
      <c r="C1213" s="4">
        <f t="shared" ca="1" si="69"/>
        <v>1960971222.0105603</v>
      </c>
      <c r="D1213" s="2"/>
      <c r="E1213" s="2"/>
    </row>
    <row r="1214" spans="1:5" x14ac:dyDescent="0.3">
      <c r="A1214" s="4">
        <v>607</v>
      </c>
      <c r="B1214" s="4">
        <f t="shared" ca="1" si="68"/>
        <v>0.16000000000000003</v>
      </c>
      <c r="C1214" s="4">
        <f t="shared" ca="1" si="69"/>
        <v>1960971222.0105603</v>
      </c>
    </row>
    <row r="1215" spans="1:5" x14ac:dyDescent="0.3">
      <c r="A1215" s="4">
        <v>608</v>
      </c>
      <c r="B1215" s="4">
        <f t="shared" ca="1" si="68"/>
        <v>0</v>
      </c>
      <c r="C1215" s="4">
        <f t="shared" ca="1" si="69"/>
        <v>0</v>
      </c>
      <c r="D1215" s="2"/>
      <c r="E1215" s="2"/>
    </row>
    <row r="1216" spans="1:5" x14ac:dyDescent="0.3">
      <c r="A1216" s="4">
        <v>609</v>
      </c>
      <c r="B1216" s="4">
        <f t="shared" ca="1" si="68"/>
        <v>0.32000000000000006</v>
      </c>
      <c r="C1216" s="4">
        <f t="shared" ca="1" si="69"/>
        <v>3921942444.0211205</v>
      </c>
    </row>
    <row r="1217" spans="1:5" x14ac:dyDescent="0.3">
      <c r="A1217" s="4">
        <v>610</v>
      </c>
      <c r="B1217" s="4">
        <f t="shared" ca="1" si="68"/>
        <v>0.27999999999999997</v>
      </c>
      <c r="C1217" s="4">
        <f t="shared" ca="1" si="69"/>
        <v>3431699638.5184798</v>
      </c>
    </row>
    <row r="1218" spans="1:5" x14ac:dyDescent="0.3">
      <c r="A1218" s="4">
        <v>611</v>
      </c>
      <c r="B1218" s="4">
        <f t="shared" ca="1" si="68"/>
        <v>0.32000000000000006</v>
      </c>
      <c r="C1218" s="4">
        <f t="shared" ca="1" si="69"/>
        <v>3921942444.0211205</v>
      </c>
    </row>
    <row r="1219" spans="1:5" x14ac:dyDescent="0.3">
      <c r="A1219" s="4">
        <v>612</v>
      </c>
      <c r="B1219" s="4">
        <f t="shared" ca="1" si="68"/>
        <v>0.27999999999999997</v>
      </c>
      <c r="C1219" s="4">
        <f t="shared" ca="1" si="69"/>
        <v>3431699638.5184798</v>
      </c>
    </row>
    <row r="1220" spans="1:5" x14ac:dyDescent="0.3">
      <c r="A1220" s="4">
        <v>613</v>
      </c>
      <c r="B1220" s="4">
        <f t="shared" ca="1" si="68"/>
        <v>0.12</v>
      </c>
      <c r="C1220" s="4">
        <f t="shared" ca="1" si="69"/>
        <v>1470728416.50792</v>
      </c>
      <c r="D1220" s="2"/>
      <c r="E1220" s="2"/>
    </row>
    <row r="1221" spans="1:5" x14ac:dyDescent="0.3">
      <c r="A1221" s="4">
        <v>614</v>
      </c>
      <c r="B1221" s="4">
        <f t="shared" ca="1" si="68"/>
        <v>0.24</v>
      </c>
      <c r="C1221" s="4">
        <f t="shared" ca="1" si="69"/>
        <v>2941456833.0158401</v>
      </c>
    </row>
    <row r="1222" spans="1:5" x14ac:dyDescent="0.3">
      <c r="A1222" s="4">
        <v>615</v>
      </c>
      <c r="B1222" s="4">
        <f t="shared" ca="1" si="68"/>
        <v>0.12</v>
      </c>
      <c r="C1222" s="4">
        <f t="shared" ca="1" si="69"/>
        <v>1470728416.50792</v>
      </c>
    </row>
    <row r="1223" spans="1:5" x14ac:dyDescent="0.3">
      <c r="A1223" s="4">
        <v>616</v>
      </c>
      <c r="B1223" s="4">
        <f t="shared" ca="1" si="68"/>
        <v>0.4</v>
      </c>
      <c r="C1223" s="4">
        <f t="shared" ca="1" si="69"/>
        <v>4902428055.0264006</v>
      </c>
      <c r="D1223" s="2"/>
      <c r="E1223" s="2"/>
    </row>
    <row r="1224" spans="1:5" x14ac:dyDescent="0.3">
      <c r="A1224" s="4">
        <v>617</v>
      </c>
      <c r="B1224" s="4">
        <f t="shared" ca="1" si="68"/>
        <v>4.0000000000000008E-2</v>
      </c>
      <c r="C1224" s="4">
        <f t="shared" ca="1" si="69"/>
        <v>490242805.50264007</v>
      </c>
    </row>
    <row r="1225" spans="1:5" x14ac:dyDescent="0.3">
      <c r="A1225" s="4">
        <v>618</v>
      </c>
      <c r="B1225" s="4">
        <f t="shared" ca="1" si="68"/>
        <v>0.27999999999999997</v>
      </c>
      <c r="C1225" s="4">
        <f t="shared" ca="1" si="69"/>
        <v>3431699638.5184798</v>
      </c>
      <c r="D1225" s="2"/>
      <c r="E1225" s="2"/>
    </row>
    <row r="1226" spans="1:5" x14ac:dyDescent="0.3">
      <c r="A1226" s="4">
        <v>619</v>
      </c>
      <c r="B1226" s="4">
        <f t="shared" ca="1" si="68"/>
        <v>0.16000000000000003</v>
      </c>
      <c r="C1226" s="4">
        <f t="shared" ca="1" si="69"/>
        <v>1960971222.0105603</v>
      </c>
    </row>
    <row r="1227" spans="1:5" x14ac:dyDescent="0.3">
      <c r="A1227" s="4">
        <v>620</v>
      </c>
      <c r="B1227" s="4">
        <f t="shared" ca="1" si="68"/>
        <v>8.0000000000000016E-2</v>
      </c>
      <c r="C1227" s="4">
        <f t="shared" ca="1" si="69"/>
        <v>980485611.00528014</v>
      </c>
    </row>
    <row r="1228" spans="1:5" x14ac:dyDescent="0.3">
      <c r="A1228" s="4">
        <v>621</v>
      </c>
      <c r="B1228" s="4">
        <f t="shared" ca="1" si="68"/>
        <v>0.16000000000000003</v>
      </c>
      <c r="C1228" s="4">
        <f t="shared" ca="1" si="69"/>
        <v>1960971222.0105603</v>
      </c>
    </row>
    <row r="1229" spans="1:5" x14ac:dyDescent="0.3">
      <c r="A1229" s="4">
        <v>622</v>
      </c>
      <c r="B1229" s="4">
        <f t="shared" ca="1" si="68"/>
        <v>0.32000000000000006</v>
      </c>
      <c r="C1229" s="4">
        <f t="shared" ca="1" si="69"/>
        <v>3921942444.0211205</v>
      </c>
    </row>
    <row r="1230" spans="1:5" x14ac:dyDescent="0.3">
      <c r="A1230" s="4">
        <v>623</v>
      </c>
      <c r="B1230" s="4">
        <f t="shared" ca="1" si="68"/>
        <v>8.0000000000000016E-2</v>
      </c>
      <c r="C1230" s="4">
        <f t="shared" ca="1" si="69"/>
        <v>980485611.00528014</v>
      </c>
      <c r="D1230" s="2"/>
      <c r="E1230" s="2"/>
    </row>
    <row r="1231" spans="1:5" x14ac:dyDescent="0.3">
      <c r="A1231" s="4">
        <v>624</v>
      </c>
      <c r="B1231" s="4">
        <f t="shared" ca="1" si="68"/>
        <v>4.0000000000000008E-2</v>
      </c>
      <c r="C1231" s="4">
        <f t="shared" ca="1" si="69"/>
        <v>490242805.50264007</v>
      </c>
    </row>
    <row r="1232" spans="1:5" x14ac:dyDescent="0.3">
      <c r="A1232" s="4">
        <v>625</v>
      </c>
      <c r="B1232" s="4">
        <f t="shared" ca="1" si="68"/>
        <v>0.36000000000000004</v>
      </c>
      <c r="C1232" s="4">
        <f t="shared" ca="1" si="69"/>
        <v>4412185249.5237608</v>
      </c>
    </row>
    <row r="1233" spans="1:5" x14ac:dyDescent="0.3">
      <c r="A1233" s="4">
        <v>626</v>
      </c>
      <c r="B1233" s="4">
        <f t="shared" ca="1" si="68"/>
        <v>0.32000000000000006</v>
      </c>
      <c r="C1233" s="4">
        <f t="shared" ca="1" si="69"/>
        <v>3921942444.0211205</v>
      </c>
      <c r="D1233" s="2"/>
      <c r="E1233" s="2"/>
    </row>
    <row r="1234" spans="1:5" x14ac:dyDescent="0.3">
      <c r="A1234" s="4">
        <v>627</v>
      </c>
      <c r="B1234" s="4">
        <f t="shared" ca="1" si="68"/>
        <v>8.0000000000000016E-2</v>
      </c>
      <c r="C1234" s="4">
        <f t="shared" ca="1" si="69"/>
        <v>980485611.00528014</v>
      </c>
    </row>
    <row r="1235" spans="1:5" x14ac:dyDescent="0.3">
      <c r="A1235" s="4">
        <v>628</v>
      </c>
      <c r="B1235" s="4">
        <f t="shared" ca="1" si="68"/>
        <v>4.0000000000000008E-2</v>
      </c>
      <c r="C1235" s="4">
        <f t="shared" ca="1" si="69"/>
        <v>490242805.50264007</v>
      </c>
      <c r="D1235" s="2"/>
      <c r="E1235" s="2"/>
    </row>
    <row r="1236" spans="1:5" x14ac:dyDescent="0.3">
      <c r="A1236" s="4">
        <v>629</v>
      </c>
      <c r="B1236" s="4">
        <f t="shared" ca="1" si="68"/>
        <v>0.32000000000000006</v>
      </c>
      <c r="C1236" s="4">
        <f t="shared" ca="1" si="69"/>
        <v>3921942444.0211205</v>
      </c>
    </row>
    <row r="1237" spans="1:5" x14ac:dyDescent="0.3">
      <c r="A1237" s="4">
        <v>630</v>
      </c>
      <c r="B1237" s="4">
        <f t="shared" ca="1" si="68"/>
        <v>0.12</v>
      </c>
      <c r="C1237" s="4">
        <f t="shared" ca="1" si="69"/>
        <v>1470728416.50792</v>
      </c>
    </row>
    <row r="1238" spans="1:5" x14ac:dyDescent="0.3">
      <c r="A1238" s="4">
        <v>631</v>
      </c>
      <c r="B1238" s="4">
        <f t="shared" ca="1" si="68"/>
        <v>0.27999999999999997</v>
      </c>
      <c r="C1238" s="4">
        <f t="shared" ca="1" si="69"/>
        <v>3431699638.5184798</v>
      </c>
    </row>
    <row r="1239" spans="1:5" x14ac:dyDescent="0.3">
      <c r="A1239" s="4">
        <v>632</v>
      </c>
      <c r="B1239" s="4">
        <f t="shared" ca="1" si="68"/>
        <v>8.0000000000000016E-2</v>
      </c>
      <c r="C1239" s="4">
        <f t="shared" ca="1" si="69"/>
        <v>980485611.00528014</v>
      </c>
    </row>
    <row r="1240" spans="1:5" x14ac:dyDescent="0.3">
      <c r="A1240" s="4">
        <v>633</v>
      </c>
      <c r="B1240" s="4">
        <f t="shared" ca="1" si="68"/>
        <v>0.2</v>
      </c>
      <c r="C1240" s="4">
        <f t="shared" ca="1" si="69"/>
        <v>2451214027.5132003</v>
      </c>
      <c r="D1240" s="2"/>
      <c r="E1240" s="2"/>
    </row>
    <row r="1241" spans="1:5" x14ac:dyDescent="0.3">
      <c r="A1241" s="4">
        <v>634</v>
      </c>
      <c r="B1241" s="4">
        <f t="shared" ca="1" si="68"/>
        <v>0</v>
      </c>
      <c r="C1241" s="4">
        <f t="shared" ca="1" si="69"/>
        <v>0</v>
      </c>
    </row>
    <row r="1242" spans="1:5" x14ac:dyDescent="0.3">
      <c r="A1242" s="4">
        <v>635</v>
      </c>
      <c r="B1242" s="4">
        <f t="shared" ca="1" si="68"/>
        <v>0.24</v>
      </c>
      <c r="C1242" s="4">
        <f t="shared" ca="1" si="69"/>
        <v>2941456833.0158401</v>
      </c>
    </row>
    <row r="1243" spans="1:5" x14ac:dyDescent="0.3">
      <c r="A1243" s="4">
        <v>636</v>
      </c>
      <c r="B1243" s="4">
        <f t="shared" ca="1" si="68"/>
        <v>0.32000000000000006</v>
      </c>
      <c r="C1243" s="4">
        <f t="shared" ca="1" si="69"/>
        <v>3921942444.0211205</v>
      </c>
      <c r="D1243" s="2"/>
      <c r="E1243" s="2"/>
    </row>
    <row r="1244" spans="1:5" x14ac:dyDescent="0.3">
      <c r="A1244" s="4">
        <v>637</v>
      </c>
      <c r="B1244" s="4">
        <f t="shared" ca="1" si="68"/>
        <v>0.32000000000000006</v>
      </c>
      <c r="C1244" s="4">
        <f t="shared" ca="1" si="69"/>
        <v>3921942444.0211205</v>
      </c>
    </row>
    <row r="1245" spans="1:5" x14ac:dyDescent="0.3">
      <c r="A1245" s="4">
        <v>638</v>
      </c>
      <c r="B1245" s="4">
        <f t="shared" ca="1" si="68"/>
        <v>0.16000000000000003</v>
      </c>
      <c r="C1245" s="4">
        <f t="shared" ca="1" si="69"/>
        <v>1960971222.0105603</v>
      </c>
      <c r="D1245" s="2"/>
      <c r="E1245" s="2"/>
    </row>
    <row r="1246" spans="1:5" x14ac:dyDescent="0.3">
      <c r="A1246" s="4">
        <v>639</v>
      </c>
      <c r="B1246" s="4">
        <f t="shared" ca="1" si="68"/>
        <v>0.2</v>
      </c>
      <c r="C1246" s="4">
        <f t="shared" ca="1" si="69"/>
        <v>2451214027.5132003</v>
      </c>
    </row>
    <row r="1247" spans="1:5" x14ac:dyDescent="0.3">
      <c r="A1247" s="4">
        <v>640</v>
      </c>
      <c r="B1247" s="4">
        <f t="shared" ca="1" si="68"/>
        <v>0.16000000000000003</v>
      </c>
      <c r="C1247" s="4">
        <f t="shared" ca="1" si="69"/>
        <v>1960971222.0105603</v>
      </c>
    </row>
    <row r="1248" spans="1:5" x14ac:dyDescent="0.3">
      <c r="A1248" s="4">
        <v>641</v>
      </c>
      <c r="B1248" s="4">
        <f t="shared" ref="B1248:B1311" ca="1" si="70">ROUND(RAND(),1)*$E$601</f>
        <v>0</v>
      </c>
      <c r="C1248" s="4">
        <f t="shared" ref="C1248:C1311" ca="1" si="71">B1248*$E$600</f>
        <v>0</v>
      </c>
    </row>
    <row r="1249" spans="1:5" x14ac:dyDescent="0.3">
      <c r="A1249" s="4">
        <v>642</v>
      </c>
      <c r="B1249" s="4">
        <f t="shared" ca="1" si="70"/>
        <v>4.0000000000000008E-2</v>
      </c>
      <c r="C1249" s="4">
        <f t="shared" ca="1" si="71"/>
        <v>490242805.50264007</v>
      </c>
    </row>
    <row r="1250" spans="1:5" x14ac:dyDescent="0.3">
      <c r="A1250" s="4">
        <v>643</v>
      </c>
      <c r="B1250" s="4">
        <f t="shared" ca="1" si="70"/>
        <v>0.27999999999999997</v>
      </c>
      <c r="C1250" s="4">
        <f t="shared" ca="1" si="71"/>
        <v>3431699638.5184798</v>
      </c>
      <c r="D1250" s="2"/>
      <c r="E1250" s="2"/>
    </row>
    <row r="1251" spans="1:5" x14ac:dyDescent="0.3">
      <c r="A1251" s="4">
        <v>644</v>
      </c>
      <c r="B1251" s="4">
        <f t="shared" ca="1" si="70"/>
        <v>0.27999999999999997</v>
      </c>
      <c r="C1251" s="4">
        <f t="shared" ca="1" si="71"/>
        <v>3431699638.5184798</v>
      </c>
    </row>
    <row r="1252" spans="1:5" x14ac:dyDescent="0.3">
      <c r="A1252" s="4">
        <v>645</v>
      </c>
      <c r="B1252" s="4">
        <f t="shared" ca="1" si="70"/>
        <v>0.12</v>
      </c>
      <c r="C1252" s="4">
        <f t="shared" ca="1" si="71"/>
        <v>1470728416.50792</v>
      </c>
    </row>
    <row r="1253" spans="1:5" x14ac:dyDescent="0.3">
      <c r="A1253" s="4">
        <v>646</v>
      </c>
      <c r="B1253" s="4">
        <f t="shared" ca="1" si="70"/>
        <v>0.27999999999999997</v>
      </c>
      <c r="C1253" s="4">
        <f t="shared" ca="1" si="71"/>
        <v>3431699638.5184798</v>
      </c>
      <c r="D1253" s="2"/>
      <c r="E1253" s="2"/>
    </row>
    <row r="1254" spans="1:5" x14ac:dyDescent="0.3">
      <c r="A1254" s="4">
        <v>647</v>
      </c>
      <c r="B1254" s="4">
        <f t="shared" ca="1" si="70"/>
        <v>0.16000000000000003</v>
      </c>
      <c r="C1254" s="4">
        <f t="shared" ca="1" si="71"/>
        <v>1960971222.0105603</v>
      </c>
    </row>
    <row r="1255" spans="1:5" x14ac:dyDescent="0.3">
      <c r="A1255" s="4">
        <v>648</v>
      </c>
      <c r="B1255" s="4">
        <f t="shared" ca="1" si="70"/>
        <v>0.24</v>
      </c>
      <c r="C1255" s="4">
        <f t="shared" ca="1" si="71"/>
        <v>2941456833.0158401</v>
      </c>
      <c r="D1255" s="2"/>
      <c r="E1255" s="2"/>
    </row>
    <row r="1256" spans="1:5" x14ac:dyDescent="0.3">
      <c r="A1256" s="4">
        <v>649</v>
      </c>
      <c r="B1256" s="4">
        <f t="shared" ca="1" si="70"/>
        <v>0.2</v>
      </c>
      <c r="C1256" s="4">
        <f t="shared" ca="1" si="71"/>
        <v>2451214027.5132003</v>
      </c>
    </row>
    <row r="1257" spans="1:5" x14ac:dyDescent="0.3">
      <c r="A1257" s="4">
        <v>650</v>
      </c>
      <c r="B1257" s="4">
        <f t="shared" ca="1" si="70"/>
        <v>0.36000000000000004</v>
      </c>
      <c r="C1257" s="4">
        <f t="shared" ca="1" si="71"/>
        <v>4412185249.5237608</v>
      </c>
    </row>
    <row r="1258" spans="1:5" x14ac:dyDescent="0.3">
      <c r="A1258" s="4">
        <v>651</v>
      </c>
      <c r="B1258" s="4">
        <f t="shared" ca="1" si="70"/>
        <v>8.0000000000000016E-2</v>
      </c>
      <c r="C1258" s="4">
        <f t="shared" ca="1" si="71"/>
        <v>980485611.00528014</v>
      </c>
    </row>
    <row r="1259" spans="1:5" x14ac:dyDescent="0.3">
      <c r="A1259" s="4">
        <v>652</v>
      </c>
      <c r="B1259" s="4">
        <f t="shared" ca="1" si="70"/>
        <v>0.16000000000000003</v>
      </c>
      <c r="C1259" s="4">
        <f t="shared" ca="1" si="71"/>
        <v>1960971222.0105603</v>
      </c>
    </row>
    <row r="1260" spans="1:5" x14ac:dyDescent="0.3">
      <c r="A1260" s="4">
        <v>653</v>
      </c>
      <c r="B1260" s="4">
        <f t="shared" ca="1" si="70"/>
        <v>0.12</v>
      </c>
      <c r="C1260" s="4">
        <f t="shared" ca="1" si="71"/>
        <v>1470728416.50792</v>
      </c>
      <c r="D1260" s="2"/>
      <c r="E1260" s="2"/>
    </row>
    <row r="1261" spans="1:5" x14ac:dyDescent="0.3">
      <c r="A1261" s="4">
        <v>654</v>
      </c>
      <c r="B1261" s="4">
        <f t="shared" ca="1" si="70"/>
        <v>0</v>
      </c>
      <c r="C1261" s="4">
        <f t="shared" ca="1" si="71"/>
        <v>0</v>
      </c>
    </row>
    <row r="1262" spans="1:5" x14ac:dyDescent="0.3">
      <c r="A1262" s="4">
        <v>655</v>
      </c>
      <c r="B1262" s="4">
        <f t="shared" ca="1" si="70"/>
        <v>0.4</v>
      </c>
      <c r="C1262" s="4">
        <f t="shared" ca="1" si="71"/>
        <v>4902428055.0264006</v>
      </c>
    </row>
    <row r="1263" spans="1:5" x14ac:dyDescent="0.3">
      <c r="A1263" s="4">
        <v>656</v>
      </c>
      <c r="B1263" s="4">
        <f t="shared" ca="1" si="70"/>
        <v>4.0000000000000008E-2</v>
      </c>
      <c r="C1263" s="4">
        <f t="shared" ca="1" si="71"/>
        <v>490242805.50264007</v>
      </c>
      <c r="D1263" s="2"/>
      <c r="E1263" s="2"/>
    </row>
    <row r="1264" spans="1:5" x14ac:dyDescent="0.3">
      <c r="A1264" s="4">
        <v>657</v>
      </c>
      <c r="B1264" s="4">
        <f t="shared" ca="1" si="70"/>
        <v>0.12</v>
      </c>
      <c r="C1264" s="4">
        <f t="shared" ca="1" si="71"/>
        <v>1470728416.50792</v>
      </c>
    </row>
    <row r="1265" spans="1:5" x14ac:dyDescent="0.3">
      <c r="A1265" s="4">
        <v>658</v>
      </c>
      <c r="B1265" s="4">
        <f t="shared" ca="1" si="70"/>
        <v>8.0000000000000016E-2</v>
      </c>
      <c r="C1265" s="4">
        <f t="shared" ca="1" si="71"/>
        <v>980485611.00528014</v>
      </c>
      <c r="D1265" s="2"/>
      <c r="E1265" s="2"/>
    </row>
    <row r="1266" spans="1:5" x14ac:dyDescent="0.3">
      <c r="A1266" s="4">
        <v>659</v>
      </c>
      <c r="B1266" s="4">
        <f t="shared" ca="1" si="70"/>
        <v>8.0000000000000016E-2</v>
      </c>
      <c r="C1266" s="4">
        <f t="shared" ca="1" si="71"/>
        <v>980485611.00528014</v>
      </c>
    </row>
    <row r="1267" spans="1:5" x14ac:dyDescent="0.3">
      <c r="A1267" s="4">
        <v>660</v>
      </c>
      <c r="B1267" s="4">
        <f t="shared" ca="1" si="70"/>
        <v>0.36000000000000004</v>
      </c>
      <c r="C1267" s="4">
        <f t="shared" ca="1" si="71"/>
        <v>4412185249.5237608</v>
      </c>
    </row>
    <row r="1268" spans="1:5" x14ac:dyDescent="0.3">
      <c r="A1268" s="4">
        <v>661</v>
      </c>
      <c r="B1268" s="4">
        <f t="shared" ca="1" si="70"/>
        <v>8.0000000000000016E-2</v>
      </c>
      <c r="C1268" s="4">
        <f t="shared" ca="1" si="71"/>
        <v>980485611.00528014</v>
      </c>
    </row>
    <row r="1269" spans="1:5" x14ac:dyDescent="0.3">
      <c r="A1269" s="4">
        <v>662</v>
      </c>
      <c r="B1269" s="4">
        <f t="shared" ca="1" si="70"/>
        <v>0.4</v>
      </c>
      <c r="C1269" s="4">
        <f t="shared" ca="1" si="71"/>
        <v>4902428055.0264006</v>
      </c>
    </row>
    <row r="1270" spans="1:5" x14ac:dyDescent="0.3">
      <c r="A1270" s="4">
        <v>663</v>
      </c>
      <c r="B1270" s="4">
        <f t="shared" ca="1" si="70"/>
        <v>0.12</v>
      </c>
      <c r="C1270" s="4">
        <f t="shared" ca="1" si="71"/>
        <v>1470728416.50792</v>
      </c>
      <c r="D1270" s="2"/>
      <c r="E1270" s="2"/>
    </row>
    <row r="1271" spans="1:5" x14ac:dyDescent="0.3">
      <c r="A1271" s="4">
        <v>664</v>
      </c>
      <c r="B1271" s="4">
        <f t="shared" ca="1" si="70"/>
        <v>0.12</v>
      </c>
      <c r="C1271" s="4">
        <f t="shared" ca="1" si="71"/>
        <v>1470728416.50792</v>
      </c>
    </row>
    <row r="1272" spans="1:5" x14ac:dyDescent="0.3">
      <c r="A1272" s="4">
        <v>665</v>
      </c>
      <c r="B1272" s="4">
        <f t="shared" ca="1" si="70"/>
        <v>0.27999999999999997</v>
      </c>
      <c r="C1272" s="4">
        <f t="shared" ca="1" si="71"/>
        <v>3431699638.5184798</v>
      </c>
    </row>
    <row r="1273" spans="1:5" x14ac:dyDescent="0.3">
      <c r="A1273" s="4">
        <v>666</v>
      </c>
      <c r="B1273" s="4">
        <f t="shared" ca="1" si="70"/>
        <v>0.27999999999999997</v>
      </c>
      <c r="C1273" s="4">
        <f t="shared" ca="1" si="71"/>
        <v>3431699638.5184798</v>
      </c>
      <c r="D1273" s="2"/>
      <c r="E1273" s="2"/>
    </row>
    <row r="1274" spans="1:5" x14ac:dyDescent="0.3">
      <c r="A1274" s="4">
        <v>667</v>
      </c>
      <c r="B1274" s="4">
        <f t="shared" ca="1" si="70"/>
        <v>0.12</v>
      </c>
      <c r="C1274" s="4">
        <f t="shared" ca="1" si="71"/>
        <v>1470728416.50792</v>
      </c>
    </row>
    <row r="1275" spans="1:5" x14ac:dyDescent="0.3">
      <c r="A1275" s="4">
        <v>668</v>
      </c>
      <c r="B1275" s="4">
        <f t="shared" ca="1" si="70"/>
        <v>0.36000000000000004</v>
      </c>
      <c r="C1275" s="4">
        <f t="shared" ca="1" si="71"/>
        <v>4412185249.5237608</v>
      </c>
      <c r="D1275" s="2"/>
      <c r="E1275" s="2"/>
    </row>
    <row r="1276" spans="1:5" x14ac:dyDescent="0.3">
      <c r="A1276" s="4">
        <v>669</v>
      </c>
      <c r="B1276" s="4">
        <f t="shared" ca="1" si="70"/>
        <v>0.36000000000000004</v>
      </c>
      <c r="C1276" s="4">
        <f t="shared" ca="1" si="71"/>
        <v>4412185249.5237608</v>
      </c>
    </row>
    <row r="1277" spans="1:5" x14ac:dyDescent="0.3">
      <c r="A1277" s="4">
        <v>670</v>
      </c>
      <c r="B1277" s="4">
        <f t="shared" ca="1" si="70"/>
        <v>0.12</v>
      </c>
      <c r="C1277" s="4">
        <f t="shared" ca="1" si="71"/>
        <v>1470728416.50792</v>
      </c>
    </row>
    <row r="1278" spans="1:5" x14ac:dyDescent="0.3">
      <c r="A1278" s="4">
        <v>671</v>
      </c>
      <c r="B1278" s="4">
        <f t="shared" ca="1" si="70"/>
        <v>4.0000000000000008E-2</v>
      </c>
      <c r="C1278" s="4">
        <f t="shared" ca="1" si="71"/>
        <v>490242805.50264007</v>
      </c>
    </row>
    <row r="1279" spans="1:5" x14ac:dyDescent="0.3">
      <c r="A1279" s="4">
        <v>672</v>
      </c>
      <c r="B1279" s="4">
        <f t="shared" ca="1" si="70"/>
        <v>8.0000000000000016E-2</v>
      </c>
      <c r="C1279" s="4">
        <f t="shared" ca="1" si="71"/>
        <v>980485611.00528014</v>
      </c>
    </row>
    <row r="1280" spans="1:5" x14ac:dyDescent="0.3">
      <c r="A1280" s="4">
        <v>673</v>
      </c>
      <c r="B1280" s="4">
        <f t="shared" ca="1" si="70"/>
        <v>0.4</v>
      </c>
      <c r="C1280" s="4">
        <f t="shared" ca="1" si="71"/>
        <v>4902428055.0264006</v>
      </c>
      <c r="D1280" s="2"/>
      <c r="E1280" s="2"/>
    </row>
    <row r="1281" spans="1:5" x14ac:dyDescent="0.3">
      <c r="A1281" s="4">
        <v>674</v>
      </c>
      <c r="B1281" s="4">
        <f t="shared" ca="1" si="70"/>
        <v>8.0000000000000016E-2</v>
      </c>
      <c r="C1281" s="4">
        <f t="shared" ca="1" si="71"/>
        <v>980485611.00528014</v>
      </c>
    </row>
    <row r="1282" spans="1:5" x14ac:dyDescent="0.3">
      <c r="A1282" s="4">
        <v>675</v>
      </c>
      <c r="B1282" s="4">
        <f t="shared" ca="1" si="70"/>
        <v>4.0000000000000008E-2</v>
      </c>
      <c r="C1282" s="4">
        <f t="shared" ca="1" si="71"/>
        <v>490242805.50264007</v>
      </c>
    </row>
    <row r="1283" spans="1:5" x14ac:dyDescent="0.3">
      <c r="A1283" s="4">
        <v>676</v>
      </c>
      <c r="B1283" s="4">
        <f t="shared" ca="1" si="70"/>
        <v>0.27999999999999997</v>
      </c>
      <c r="C1283" s="4">
        <f t="shared" ca="1" si="71"/>
        <v>3431699638.5184798</v>
      </c>
      <c r="D1283" s="2"/>
      <c r="E1283" s="2"/>
    </row>
    <row r="1284" spans="1:5" x14ac:dyDescent="0.3">
      <c r="A1284" s="4">
        <v>677</v>
      </c>
      <c r="B1284" s="4">
        <f t="shared" ca="1" si="70"/>
        <v>0.27999999999999997</v>
      </c>
      <c r="C1284" s="4">
        <f t="shared" ca="1" si="71"/>
        <v>3431699638.5184798</v>
      </c>
    </row>
    <row r="1285" spans="1:5" x14ac:dyDescent="0.3">
      <c r="A1285" s="4">
        <v>678</v>
      </c>
      <c r="B1285" s="4">
        <f t="shared" ca="1" si="70"/>
        <v>0.16000000000000003</v>
      </c>
      <c r="C1285" s="4">
        <f t="shared" ca="1" si="71"/>
        <v>1960971222.0105603</v>
      </c>
      <c r="D1285" s="2"/>
      <c r="E1285" s="2"/>
    </row>
    <row r="1286" spans="1:5" x14ac:dyDescent="0.3">
      <c r="A1286" s="4">
        <v>679</v>
      </c>
      <c r="B1286" s="4">
        <f t="shared" ca="1" si="70"/>
        <v>0.32000000000000006</v>
      </c>
      <c r="C1286" s="4">
        <f t="shared" ca="1" si="71"/>
        <v>3921942444.0211205</v>
      </c>
    </row>
    <row r="1287" spans="1:5" x14ac:dyDescent="0.3">
      <c r="A1287" s="4">
        <v>680</v>
      </c>
      <c r="B1287" s="4">
        <f t="shared" ca="1" si="70"/>
        <v>8.0000000000000016E-2</v>
      </c>
      <c r="C1287" s="4">
        <f t="shared" ca="1" si="71"/>
        <v>980485611.00528014</v>
      </c>
    </row>
    <row r="1288" spans="1:5" x14ac:dyDescent="0.3">
      <c r="A1288" s="4">
        <v>681</v>
      </c>
      <c r="B1288" s="4">
        <f t="shared" ca="1" si="70"/>
        <v>8.0000000000000016E-2</v>
      </c>
      <c r="C1288" s="4">
        <f t="shared" ca="1" si="71"/>
        <v>980485611.00528014</v>
      </c>
    </row>
    <row r="1289" spans="1:5" x14ac:dyDescent="0.3">
      <c r="A1289" s="4">
        <v>682</v>
      </c>
      <c r="B1289" s="4">
        <f t="shared" ca="1" si="70"/>
        <v>0</v>
      </c>
      <c r="C1289" s="4">
        <f t="shared" ca="1" si="71"/>
        <v>0</v>
      </c>
    </row>
    <row r="1290" spans="1:5" x14ac:dyDescent="0.3">
      <c r="A1290" s="4">
        <v>683</v>
      </c>
      <c r="B1290" s="4">
        <f t="shared" ca="1" si="70"/>
        <v>0.2</v>
      </c>
      <c r="C1290" s="4">
        <f t="shared" ca="1" si="71"/>
        <v>2451214027.5132003</v>
      </c>
      <c r="D1290" s="2"/>
      <c r="E1290" s="2"/>
    </row>
    <row r="1291" spans="1:5" x14ac:dyDescent="0.3">
      <c r="A1291" s="4">
        <v>684</v>
      </c>
      <c r="B1291" s="4">
        <f t="shared" ca="1" si="70"/>
        <v>0.12</v>
      </c>
      <c r="C1291" s="4">
        <f t="shared" ca="1" si="71"/>
        <v>1470728416.50792</v>
      </c>
    </row>
    <row r="1292" spans="1:5" x14ac:dyDescent="0.3">
      <c r="A1292" s="4">
        <v>685</v>
      </c>
      <c r="B1292" s="4">
        <f t="shared" ca="1" si="70"/>
        <v>0.2</v>
      </c>
      <c r="C1292" s="4">
        <f t="shared" ca="1" si="71"/>
        <v>2451214027.5132003</v>
      </c>
    </row>
    <row r="1293" spans="1:5" x14ac:dyDescent="0.3">
      <c r="A1293" s="4">
        <v>686</v>
      </c>
      <c r="B1293" s="4">
        <f t="shared" ca="1" si="70"/>
        <v>0.12</v>
      </c>
      <c r="C1293" s="4">
        <f t="shared" ca="1" si="71"/>
        <v>1470728416.50792</v>
      </c>
      <c r="D1293" s="2"/>
      <c r="E1293" s="2"/>
    </row>
    <row r="1294" spans="1:5" x14ac:dyDescent="0.3">
      <c r="A1294" s="4">
        <v>687</v>
      </c>
      <c r="B1294" s="4">
        <f t="shared" ca="1" si="70"/>
        <v>0.24</v>
      </c>
      <c r="C1294" s="4">
        <f t="shared" ca="1" si="71"/>
        <v>2941456833.0158401</v>
      </c>
    </row>
    <row r="1295" spans="1:5" x14ac:dyDescent="0.3">
      <c r="A1295" s="4">
        <v>688</v>
      </c>
      <c r="B1295" s="4">
        <f t="shared" ca="1" si="70"/>
        <v>8.0000000000000016E-2</v>
      </c>
      <c r="C1295" s="4">
        <f t="shared" ca="1" si="71"/>
        <v>980485611.00528014</v>
      </c>
      <c r="D1295" s="2"/>
      <c r="E1295" s="2"/>
    </row>
    <row r="1296" spans="1:5" x14ac:dyDescent="0.3">
      <c r="A1296" s="4">
        <v>689</v>
      </c>
      <c r="B1296" s="4">
        <f t="shared" ca="1" si="70"/>
        <v>4.0000000000000008E-2</v>
      </c>
      <c r="C1296" s="4">
        <f t="shared" ca="1" si="71"/>
        <v>490242805.50264007</v>
      </c>
    </row>
    <row r="1297" spans="1:5" x14ac:dyDescent="0.3">
      <c r="A1297" s="4">
        <v>690</v>
      </c>
      <c r="B1297" s="4">
        <f t="shared" ca="1" si="70"/>
        <v>0.16000000000000003</v>
      </c>
      <c r="C1297" s="4">
        <f t="shared" ca="1" si="71"/>
        <v>1960971222.0105603</v>
      </c>
    </row>
    <row r="1298" spans="1:5" x14ac:dyDescent="0.3">
      <c r="A1298" s="4">
        <v>691</v>
      </c>
      <c r="B1298" s="4">
        <f t="shared" ca="1" si="70"/>
        <v>0.36000000000000004</v>
      </c>
      <c r="C1298" s="4">
        <f t="shared" ca="1" si="71"/>
        <v>4412185249.5237608</v>
      </c>
    </row>
    <row r="1299" spans="1:5" x14ac:dyDescent="0.3">
      <c r="A1299" s="4">
        <v>692</v>
      </c>
      <c r="B1299" s="4">
        <f t="shared" ca="1" si="70"/>
        <v>0.16000000000000003</v>
      </c>
      <c r="C1299" s="4">
        <f t="shared" ca="1" si="71"/>
        <v>1960971222.0105603</v>
      </c>
    </row>
    <row r="1300" spans="1:5" x14ac:dyDescent="0.3">
      <c r="A1300" s="4">
        <v>693</v>
      </c>
      <c r="B1300" s="4">
        <f t="shared" ca="1" si="70"/>
        <v>0.16000000000000003</v>
      </c>
      <c r="C1300" s="4">
        <f t="shared" ca="1" si="71"/>
        <v>1960971222.0105603</v>
      </c>
      <c r="D1300" s="2"/>
      <c r="E1300" s="2"/>
    </row>
    <row r="1301" spans="1:5" x14ac:dyDescent="0.3">
      <c r="A1301" s="4">
        <v>694</v>
      </c>
      <c r="B1301" s="4">
        <f t="shared" ca="1" si="70"/>
        <v>0.24</v>
      </c>
      <c r="C1301" s="4">
        <f t="shared" ca="1" si="71"/>
        <v>2941456833.0158401</v>
      </c>
    </row>
    <row r="1302" spans="1:5" x14ac:dyDescent="0.3">
      <c r="A1302" s="4">
        <v>695</v>
      </c>
      <c r="B1302" s="4">
        <f t="shared" ca="1" si="70"/>
        <v>0.24</v>
      </c>
      <c r="C1302" s="4">
        <f t="shared" ca="1" si="71"/>
        <v>2941456833.0158401</v>
      </c>
    </row>
    <row r="1303" spans="1:5" x14ac:dyDescent="0.3">
      <c r="A1303" s="4">
        <v>696</v>
      </c>
      <c r="B1303" s="4">
        <f t="shared" ca="1" si="70"/>
        <v>0</v>
      </c>
      <c r="C1303" s="4">
        <f t="shared" ca="1" si="71"/>
        <v>0</v>
      </c>
      <c r="D1303" s="2"/>
      <c r="E1303" s="2"/>
    </row>
    <row r="1304" spans="1:5" x14ac:dyDescent="0.3">
      <c r="A1304" s="4">
        <v>697</v>
      </c>
      <c r="B1304" s="4">
        <f t="shared" ca="1" si="70"/>
        <v>0.32000000000000006</v>
      </c>
      <c r="C1304" s="4">
        <f t="shared" ca="1" si="71"/>
        <v>3921942444.0211205</v>
      </c>
    </row>
    <row r="1305" spans="1:5" x14ac:dyDescent="0.3">
      <c r="A1305" s="4">
        <v>698</v>
      </c>
      <c r="B1305" s="4">
        <f t="shared" ca="1" si="70"/>
        <v>8.0000000000000016E-2</v>
      </c>
      <c r="C1305" s="4">
        <f t="shared" ca="1" si="71"/>
        <v>980485611.00528014</v>
      </c>
      <c r="D1305" s="2"/>
      <c r="E1305" s="2"/>
    </row>
    <row r="1306" spans="1:5" x14ac:dyDescent="0.3">
      <c r="A1306" s="4">
        <v>699</v>
      </c>
      <c r="B1306" s="4">
        <f t="shared" ca="1" si="70"/>
        <v>8.0000000000000016E-2</v>
      </c>
      <c r="C1306" s="4">
        <f t="shared" ca="1" si="71"/>
        <v>980485611.00528014</v>
      </c>
    </row>
    <row r="1307" spans="1:5" x14ac:dyDescent="0.3">
      <c r="A1307" s="4">
        <v>700</v>
      </c>
      <c r="B1307" s="4">
        <f t="shared" ca="1" si="70"/>
        <v>0.16000000000000003</v>
      </c>
      <c r="C1307" s="4">
        <f t="shared" ca="1" si="71"/>
        <v>1960971222.0105603</v>
      </c>
    </row>
    <row r="1308" spans="1:5" x14ac:dyDescent="0.3">
      <c r="A1308" s="4">
        <v>701</v>
      </c>
      <c r="B1308" s="4">
        <f t="shared" ca="1" si="70"/>
        <v>0.12</v>
      </c>
      <c r="C1308" s="4">
        <f t="shared" ca="1" si="71"/>
        <v>1470728416.50792</v>
      </c>
    </row>
    <row r="1309" spans="1:5" x14ac:dyDescent="0.3">
      <c r="A1309" s="4">
        <v>702</v>
      </c>
      <c r="B1309" s="4">
        <f t="shared" ca="1" si="70"/>
        <v>0.16000000000000003</v>
      </c>
      <c r="C1309" s="4">
        <f t="shared" ca="1" si="71"/>
        <v>1960971222.0105603</v>
      </c>
    </row>
    <row r="1310" spans="1:5" x14ac:dyDescent="0.3">
      <c r="A1310" s="4">
        <v>703</v>
      </c>
      <c r="B1310" s="4">
        <f t="shared" ca="1" si="70"/>
        <v>0.36000000000000004</v>
      </c>
      <c r="C1310" s="4">
        <f t="shared" ca="1" si="71"/>
        <v>4412185249.5237608</v>
      </c>
      <c r="D1310" s="2"/>
      <c r="E1310" s="2"/>
    </row>
    <row r="1311" spans="1:5" x14ac:dyDescent="0.3">
      <c r="A1311" s="4">
        <v>704</v>
      </c>
      <c r="B1311" s="4">
        <f t="shared" ca="1" si="70"/>
        <v>0.27999999999999997</v>
      </c>
      <c r="C1311" s="4">
        <f t="shared" ca="1" si="71"/>
        <v>3431699638.5184798</v>
      </c>
    </row>
    <row r="1312" spans="1:5" x14ac:dyDescent="0.3">
      <c r="A1312" s="4">
        <v>705</v>
      </c>
      <c r="B1312" s="4">
        <f t="shared" ref="B1312:B1375" ca="1" si="72">ROUND(RAND(),1)*$E$601</f>
        <v>0.24</v>
      </c>
      <c r="C1312" s="4">
        <f t="shared" ref="C1312:C1375" ca="1" si="73">B1312*$E$600</f>
        <v>2941456833.0158401</v>
      </c>
    </row>
    <row r="1313" spans="1:5" x14ac:dyDescent="0.3">
      <c r="A1313" s="4">
        <v>706</v>
      </c>
      <c r="B1313" s="4">
        <f t="shared" ca="1" si="72"/>
        <v>0.27999999999999997</v>
      </c>
      <c r="C1313" s="4">
        <f t="shared" ca="1" si="73"/>
        <v>3431699638.5184798</v>
      </c>
      <c r="D1313" s="2"/>
      <c r="E1313" s="2"/>
    </row>
    <row r="1314" spans="1:5" x14ac:dyDescent="0.3">
      <c r="A1314" s="4">
        <v>707</v>
      </c>
      <c r="B1314" s="4">
        <f t="shared" ca="1" si="72"/>
        <v>8.0000000000000016E-2</v>
      </c>
      <c r="C1314" s="4">
        <f t="shared" ca="1" si="73"/>
        <v>980485611.00528014</v>
      </c>
    </row>
    <row r="1315" spans="1:5" x14ac:dyDescent="0.3">
      <c r="A1315" s="4">
        <v>708</v>
      </c>
      <c r="B1315" s="4">
        <f t="shared" ca="1" si="72"/>
        <v>4.0000000000000008E-2</v>
      </c>
      <c r="C1315" s="4">
        <f t="shared" ca="1" si="73"/>
        <v>490242805.50264007</v>
      </c>
      <c r="D1315" s="2"/>
      <c r="E1315" s="2"/>
    </row>
    <row r="1316" spans="1:5" x14ac:dyDescent="0.3">
      <c r="A1316" s="4">
        <v>709</v>
      </c>
      <c r="B1316" s="4">
        <f t="shared" ca="1" si="72"/>
        <v>0.36000000000000004</v>
      </c>
      <c r="C1316" s="4">
        <f t="shared" ca="1" si="73"/>
        <v>4412185249.5237608</v>
      </c>
    </row>
    <row r="1317" spans="1:5" x14ac:dyDescent="0.3">
      <c r="A1317" s="4">
        <v>710</v>
      </c>
      <c r="B1317" s="4">
        <f t="shared" ca="1" si="72"/>
        <v>0.12</v>
      </c>
      <c r="C1317" s="4">
        <f t="shared" ca="1" si="73"/>
        <v>1470728416.50792</v>
      </c>
    </row>
    <row r="1318" spans="1:5" x14ac:dyDescent="0.3">
      <c r="A1318" s="4">
        <v>711</v>
      </c>
      <c r="B1318" s="4">
        <f t="shared" ca="1" si="72"/>
        <v>0.4</v>
      </c>
      <c r="C1318" s="4">
        <f t="shared" ca="1" si="73"/>
        <v>4902428055.0264006</v>
      </c>
    </row>
    <row r="1319" spans="1:5" x14ac:dyDescent="0.3">
      <c r="A1319" s="4">
        <v>712</v>
      </c>
      <c r="B1319" s="4">
        <f t="shared" ca="1" si="72"/>
        <v>0</v>
      </c>
      <c r="C1319" s="4">
        <f t="shared" ca="1" si="73"/>
        <v>0</v>
      </c>
    </row>
    <row r="1320" spans="1:5" x14ac:dyDescent="0.3">
      <c r="A1320" s="4">
        <v>713</v>
      </c>
      <c r="B1320" s="4">
        <f t="shared" ca="1" si="72"/>
        <v>0.12</v>
      </c>
      <c r="C1320" s="4">
        <f t="shared" ca="1" si="73"/>
        <v>1470728416.50792</v>
      </c>
      <c r="D1320" s="2"/>
      <c r="E1320" s="2"/>
    </row>
    <row r="1321" spans="1:5" x14ac:dyDescent="0.3">
      <c r="A1321" s="4">
        <v>714</v>
      </c>
      <c r="B1321" s="4">
        <f t="shared" ca="1" si="72"/>
        <v>0.27999999999999997</v>
      </c>
      <c r="C1321" s="4">
        <f t="shared" ca="1" si="73"/>
        <v>3431699638.5184798</v>
      </c>
    </row>
    <row r="1322" spans="1:5" x14ac:dyDescent="0.3">
      <c r="A1322" s="4">
        <v>715</v>
      </c>
      <c r="B1322" s="4">
        <f t="shared" ca="1" si="72"/>
        <v>0.24</v>
      </c>
      <c r="C1322" s="4">
        <f t="shared" ca="1" si="73"/>
        <v>2941456833.0158401</v>
      </c>
    </row>
    <row r="1323" spans="1:5" x14ac:dyDescent="0.3">
      <c r="A1323" s="4">
        <v>716</v>
      </c>
      <c r="B1323" s="4">
        <f t="shared" ca="1" si="72"/>
        <v>0.36000000000000004</v>
      </c>
      <c r="C1323" s="4">
        <f t="shared" ca="1" si="73"/>
        <v>4412185249.5237608</v>
      </c>
      <c r="D1323" s="2"/>
      <c r="E1323" s="2"/>
    </row>
    <row r="1324" spans="1:5" x14ac:dyDescent="0.3">
      <c r="A1324" s="4">
        <v>717</v>
      </c>
      <c r="B1324" s="4">
        <f t="shared" ca="1" si="72"/>
        <v>0.24</v>
      </c>
      <c r="C1324" s="4">
        <f t="shared" ca="1" si="73"/>
        <v>2941456833.0158401</v>
      </c>
    </row>
    <row r="1325" spans="1:5" x14ac:dyDescent="0.3">
      <c r="A1325" s="4">
        <v>718</v>
      </c>
      <c r="B1325" s="4">
        <f t="shared" ca="1" si="72"/>
        <v>0.24</v>
      </c>
      <c r="C1325" s="4">
        <f t="shared" ca="1" si="73"/>
        <v>2941456833.0158401</v>
      </c>
      <c r="D1325" s="2"/>
      <c r="E1325" s="2"/>
    </row>
    <row r="1326" spans="1:5" x14ac:dyDescent="0.3">
      <c r="A1326" s="4">
        <v>719</v>
      </c>
      <c r="B1326" s="4">
        <f t="shared" ca="1" si="72"/>
        <v>0</v>
      </c>
      <c r="C1326" s="4">
        <f t="shared" ca="1" si="73"/>
        <v>0</v>
      </c>
    </row>
    <row r="1327" spans="1:5" x14ac:dyDescent="0.3">
      <c r="A1327" s="4">
        <v>720</v>
      </c>
      <c r="B1327" s="4">
        <f t="shared" ca="1" si="72"/>
        <v>0</v>
      </c>
      <c r="C1327" s="4">
        <f t="shared" ca="1" si="73"/>
        <v>0</v>
      </c>
    </row>
    <row r="1328" spans="1:5" x14ac:dyDescent="0.3">
      <c r="A1328" s="4">
        <v>721</v>
      </c>
      <c r="B1328" s="4">
        <f t="shared" ca="1" si="72"/>
        <v>0.32000000000000006</v>
      </c>
      <c r="C1328" s="4">
        <f t="shared" ca="1" si="73"/>
        <v>3921942444.0211205</v>
      </c>
    </row>
    <row r="1329" spans="1:5" x14ac:dyDescent="0.3">
      <c r="A1329" s="4">
        <v>722</v>
      </c>
      <c r="B1329" s="4">
        <f t="shared" ca="1" si="72"/>
        <v>4.0000000000000008E-2</v>
      </c>
      <c r="C1329" s="4">
        <f t="shared" ca="1" si="73"/>
        <v>490242805.50264007</v>
      </c>
    </row>
    <row r="1330" spans="1:5" x14ac:dyDescent="0.3">
      <c r="A1330" s="4">
        <v>723</v>
      </c>
      <c r="B1330" s="4">
        <f t="shared" ca="1" si="72"/>
        <v>0.24</v>
      </c>
      <c r="C1330" s="4">
        <f t="shared" ca="1" si="73"/>
        <v>2941456833.0158401</v>
      </c>
      <c r="D1330" s="2"/>
      <c r="E1330" s="2"/>
    </row>
    <row r="1331" spans="1:5" x14ac:dyDescent="0.3">
      <c r="A1331" s="4">
        <v>724</v>
      </c>
      <c r="B1331" s="4">
        <f t="shared" ca="1" si="72"/>
        <v>0.27999999999999997</v>
      </c>
      <c r="C1331" s="4">
        <f t="shared" ca="1" si="73"/>
        <v>3431699638.5184798</v>
      </c>
    </row>
    <row r="1332" spans="1:5" x14ac:dyDescent="0.3">
      <c r="A1332" s="4">
        <v>725</v>
      </c>
      <c r="B1332" s="4">
        <f t="shared" ca="1" si="72"/>
        <v>8.0000000000000016E-2</v>
      </c>
      <c r="C1332" s="4">
        <f t="shared" ca="1" si="73"/>
        <v>980485611.00528014</v>
      </c>
    </row>
    <row r="1333" spans="1:5" x14ac:dyDescent="0.3">
      <c r="A1333" s="4">
        <v>726</v>
      </c>
      <c r="B1333" s="4">
        <f t="shared" ca="1" si="72"/>
        <v>0.36000000000000004</v>
      </c>
      <c r="C1333" s="4">
        <f t="shared" ca="1" si="73"/>
        <v>4412185249.5237608</v>
      </c>
      <c r="D1333" s="2"/>
      <c r="E1333" s="2"/>
    </row>
    <row r="1334" spans="1:5" x14ac:dyDescent="0.3">
      <c r="A1334" s="4">
        <v>727</v>
      </c>
      <c r="B1334" s="4">
        <f t="shared" ca="1" si="72"/>
        <v>0</v>
      </c>
      <c r="C1334" s="4">
        <f t="shared" ca="1" si="73"/>
        <v>0</v>
      </c>
    </row>
    <row r="1335" spans="1:5" x14ac:dyDescent="0.3">
      <c r="A1335" s="4">
        <v>728</v>
      </c>
      <c r="B1335" s="4">
        <f t="shared" ca="1" si="72"/>
        <v>8.0000000000000016E-2</v>
      </c>
      <c r="C1335" s="4">
        <f t="shared" ca="1" si="73"/>
        <v>980485611.00528014</v>
      </c>
      <c r="D1335" s="2"/>
      <c r="E1335" s="2"/>
    </row>
    <row r="1336" spans="1:5" x14ac:dyDescent="0.3">
      <c r="A1336" s="4">
        <v>729</v>
      </c>
      <c r="B1336" s="4">
        <f t="shared" ca="1" si="72"/>
        <v>0.12</v>
      </c>
      <c r="C1336" s="4">
        <f t="shared" ca="1" si="73"/>
        <v>1470728416.50792</v>
      </c>
    </row>
    <row r="1337" spans="1:5" x14ac:dyDescent="0.3">
      <c r="A1337" s="4">
        <v>730</v>
      </c>
      <c r="B1337" s="4">
        <f t="shared" ca="1" si="72"/>
        <v>8.0000000000000016E-2</v>
      </c>
      <c r="C1337" s="4">
        <f t="shared" ca="1" si="73"/>
        <v>980485611.00528014</v>
      </c>
    </row>
    <row r="1338" spans="1:5" x14ac:dyDescent="0.3">
      <c r="A1338" s="4">
        <v>731</v>
      </c>
      <c r="B1338" s="4">
        <f t="shared" ca="1" si="72"/>
        <v>0</v>
      </c>
      <c r="C1338" s="4">
        <f t="shared" ca="1" si="73"/>
        <v>0</v>
      </c>
    </row>
    <row r="1339" spans="1:5" x14ac:dyDescent="0.3">
      <c r="A1339" s="4">
        <v>732</v>
      </c>
      <c r="B1339" s="4">
        <f t="shared" ca="1" si="72"/>
        <v>0.4</v>
      </c>
      <c r="C1339" s="4">
        <f t="shared" ca="1" si="73"/>
        <v>4902428055.0264006</v>
      </c>
    </row>
    <row r="1340" spans="1:5" x14ac:dyDescent="0.3">
      <c r="A1340" s="4">
        <v>733</v>
      </c>
      <c r="B1340" s="4">
        <f t="shared" ca="1" si="72"/>
        <v>0.36000000000000004</v>
      </c>
      <c r="C1340" s="4">
        <f t="shared" ca="1" si="73"/>
        <v>4412185249.5237608</v>
      </c>
      <c r="D1340" s="2"/>
      <c r="E1340" s="2"/>
    </row>
    <row r="1341" spans="1:5" x14ac:dyDescent="0.3">
      <c r="A1341" s="4">
        <v>734</v>
      </c>
      <c r="B1341" s="4">
        <f t="shared" ca="1" si="72"/>
        <v>0</v>
      </c>
      <c r="C1341" s="4">
        <f t="shared" ca="1" si="73"/>
        <v>0</v>
      </c>
    </row>
    <row r="1342" spans="1:5" x14ac:dyDescent="0.3">
      <c r="A1342" s="4">
        <v>735</v>
      </c>
      <c r="B1342" s="4">
        <f t="shared" ca="1" si="72"/>
        <v>0.36000000000000004</v>
      </c>
      <c r="C1342" s="4">
        <f t="shared" ca="1" si="73"/>
        <v>4412185249.5237608</v>
      </c>
    </row>
    <row r="1343" spans="1:5" x14ac:dyDescent="0.3">
      <c r="A1343" s="4">
        <v>736</v>
      </c>
      <c r="B1343" s="4">
        <f t="shared" ca="1" si="72"/>
        <v>4.0000000000000008E-2</v>
      </c>
      <c r="C1343" s="4">
        <f t="shared" ca="1" si="73"/>
        <v>490242805.50264007</v>
      </c>
      <c r="D1343" s="2"/>
      <c r="E1343" s="2"/>
    </row>
    <row r="1344" spans="1:5" x14ac:dyDescent="0.3">
      <c r="A1344" s="4">
        <v>737</v>
      </c>
      <c r="B1344" s="4">
        <f t="shared" ca="1" si="72"/>
        <v>0.27999999999999997</v>
      </c>
      <c r="C1344" s="4">
        <f t="shared" ca="1" si="73"/>
        <v>3431699638.5184798</v>
      </c>
    </row>
    <row r="1345" spans="1:5" x14ac:dyDescent="0.3">
      <c r="A1345" s="4">
        <v>738</v>
      </c>
      <c r="B1345" s="4">
        <f t="shared" ca="1" si="72"/>
        <v>0.36000000000000004</v>
      </c>
      <c r="C1345" s="4">
        <f t="shared" ca="1" si="73"/>
        <v>4412185249.5237608</v>
      </c>
      <c r="D1345" s="2"/>
      <c r="E1345" s="2"/>
    </row>
    <row r="1346" spans="1:5" x14ac:dyDescent="0.3">
      <c r="A1346" s="4">
        <v>739</v>
      </c>
      <c r="B1346" s="4">
        <f t="shared" ca="1" si="72"/>
        <v>0.2</v>
      </c>
      <c r="C1346" s="4">
        <f t="shared" ca="1" si="73"/>
        <v>2451214027.5132003</v>
      </c>
    </row>
    <row r="1347" spans="1:5" x14ac:dyDescent="0.3">
      <c r="A1347" s="4">
        <v>740</v>
      </c>
      <c r="B1347" s="4">
        <f t="shared" ca="1" si="72"/>
        <v>0.24</v>
      </c>
      <c r="C1347" s="4">
        <f t="shared" ca="1" si="73"/>
        <v>2941456833.0158401</v>
      </c>
    </row>
    <row r="1348" spans="1:5" x14ac:dyDescent="0.3">
      <c r="A1348" s="4">
        <v>741</v>
      </c>
      <c r="B1348" s="4">
        <f t="shared" ca="1" si="72"/>
        <v>0</v>
      </c>
      <c r="C1348" s="4">
        <f t="shared" ca="1" si="73"/>
        <v>0</v>
      </c>
    </row>
    <row r="1349" spans="1:5" x14ac:dyDescent="0.3">
      <c r="A1349" s="4">
        <v>742</v>
      </c>
      <c r="B1349" s="4">
        <f t="shared" ca="1" si="72"/>
        <v>0.12</v>
      </c>
      <c r="C1349" s="4">
        <f t="shared" ca="1" si="73"/>
        <v>1470728416.50792</v>
      </c>
    </row>
    <row r="1350" spans="1:5" x14ac:dyDescent="0.3">
      <c r="A1350" s="4">
        <v>743</v>
      </c>
      <c r="B1350" s="4">
        <f t="shared" ca="1" si="72"/>
        <v>0.27999999999999997</v>
      </c>
      <c r="C1350" s="4">
        <f t="shared" ca="1" si="73"/>
        <v>3431699638.5184798</v>
      </c>
      <c r="D1350" s="2"/>
      <c r="E1350" s="2"/>
    </row>
    <row r="1351" spans="1:5" x14ac:dyDescent="0.3">
      <c r="A1351" s="4">
        <v>744</v>
      </c>
      <c r="B1351" s="4">
        <f t="shared" ca="1" si="72"/>
        <v>0.36000000000000004</v>
      </c>
      <c r="C1351" s="4">
        <f t="shared" ca="1" si="73"/>
        <v>4412185249.5237608</v>
      </c>
    </row>
    <row r="1352" spans="1:5" x14ac:dyDescent="0.3">
      <c r="A1352" s="4">
        <v>745</v>
      </c>
      <c r="B1352" s="4">
        <f t="shared" ca="1" si="72"/>
        <v>8.0000000000000016E-2</v>
      </c>
      <c r="C1352" s="4">
        <f t="shared" ca="1" si="73"/>
        <v>980485611.00528014</v>
      </c>
    </row>
    <row r="1353" spans="1:5" x14ac:dyDescent="0.3">
      <c r="A1353" s="4">
        <v>746</v>
      </c>
      <c r="B1353" s="4">
        <f t="shared" ca="1" si="72"/>
        <v>0.12</v>
      </c>
      <c r="C1353" s="4">
        <f t="shared" ca="1" si="73"/>
        <v>1470728416.50792</v>
      </c>
      <c r="D1353" s="2"/>
      <c r="E1353" s="2"/>
    </row>
    <row r="1354" spans="1:5" x14ac:dyDescent="0.3">
      <c r="A1354" s="4">
        <v>747</v>
      </c>
      <c r="B1354" s="4">
        <f t="shared" ca="1" si="72"/>
        <v>0.36000000000000004</v>
      </c>
      <c r="C1354" s="4">
        <f t="shared" ca="1" si="73"/>
        <v>4412185249.5237608</v>
      </c>
    </row>
    <row r="1355" spans="1:5" x14ac:dyDescent="0.3">
      <c r="A1355" s="4">
        <v>748</v>
      </c>
      <c r="B1355" s="4">
        <f t="shared" ca="1" si="72"/>
        <v>0.2</v>
      </c>
      <c r="C1355" s="4">
        <f t="shared" ca="1" si="73"/>
        <v>2451214027.5132003</v>
      </c>
      <c r="D1355" s="2"/>
      <c r="E1355" s="2"/>
    </row>
    <row r="1356" spans="1:5" x14ac:dyDescent="0.3">
      <c r="A1356" s="4">
        <v>749</v>
      </c>
      <c r="B1356" s="4">
        <f t="shared" ca="1" si="72"/>
        <v>4.0000000000000008E-2</v>
      </c>
      <c r="C1356" s="4">
        <f t="shared" ca="1" si="73"/>
        <v>490242805.50264007</v>
      </c>
    </row>
    <row r="1357" spans="1:5" x14ac:dyDescent="0.3">
      <c r="A1357" s="4">
        <v>750</v>
      </c>
      <c r="B1357" s="4">
        <f t="shared" ca="1" si="72"/>
        <v>0.27999999999999997</v>
      </c>
      <c r="C1357" s="4">
        <f t="shared" ca="1" si="73"/>
        <v>3431699638.5184798</v>
      </c>
    </row>
    <row r="1358" spans="1:5" x14ac:dyDescent="0.3">
      <c r="A1358" s="4">
        <v>751</v>
      </c>
      <c r="B1358" s="4">
        <f t="shared" ca="1" si="72"/>
        <v>8.0000000000000016E-2</v>
      </c>
      <c r="C1358" s="4">
        <f t="shared" ca="1" si="73"/>
        <v>980485611.00528014</v>
      </c>
    </row>
    <row r="1359" spans="1:5" x14ac:dyDescent="0.3">
      <c r="A1359" s="4">
        <v>752</v>
      </c>
      <c r="B1359" s="4">
        <f t="shared" ca="1" si="72"/>
        <v>8.0000000000000016E-2</v>
      </c>
      <c r="C1359" s="4">
        <f t="shared" ca="1" si="73"/>
        <v>980485611.00528014</v>
      </c>
    </row>
    <row r="1360" spans="1:5" x14ac:dyDescent="0.3">
      <c r="A1360" s="4">
        <v>753</v>
      </c>
      <c r="B1360" s="4">
        <f t="shared" ca="1" si="72"/>
        <v>0.16000000000000003</v>
      </c>
      <c r="C1360" s="4">
        <f t="shared" ca="1" si="73"/>
        <v>1960971222.0105603</v>
      </c>
      <c r="D1360" s="2"/>
      <c r="E1360" s="2"/>
    </row>
    <row r="1361" spans="1:5" x14ac:dyDescent="0.3">
      <c r="A1361" s="4">
        <v>754</v>
      </c>
      <c r="B1361" s="4">
        <f t="shared" ca="1" si="72"/>
        <v>4.0000000000000008E-2</v>
      </c>
      <c r="C1361" s="4">
        <f t="shared" ca="1" si="73"/>
        <v>490242805.50264007</v>
      </c>
    </row>
    <row r="1362" spans="1:5" x14ac:dyDescent="0.3">
      <c r="A1362" s="4">
        <v>755</v>
      </c>
      <c r="B1362" s="4">
        <f t="shared" ca="1" si="72"/>
        <v>0.24</v>
      </c>
      <c r="C1362" s="4">
        <f t="shared" ca="1" si="73"/>
        <v>2941456833.0158401</v>
      </c>
    </row>
    <row r="1363" spans="1:5" x14ac:dyDescent="0.3">
      <c r="A1363" s="4">
        <v>756</v>
      </c>
      <c r="B1363" s="4">
        <f t="shared" ca="1" si="72"/>
        <v>0.27999999999999997</v>
      </c>
      <c r="C1363" s="4">
        <f t="shared" ca="1" si="73"/>
        <v>3431699638.5184798</v>
      </c>
      <c r="D1363" s="2"/>
      <c r="E1363" s="2"/>
    </row>
    <row r="1364" spans="1:5" x14ac:dyDescent="0.3">
      <c r="A1364" s="4">
        <v>757</v>
      </c>
      <c r="B1364" s="4">
        <f t="shared" ca="1" si="72"/>
        <v>0.2</v>
      </c>
      <c r="C1364" s="4">
        <f t="shared" ca="1" si="73"/>
        <v>2451214027.5132003</v>
      </c>
    </row>
    <row r="1365" spans="1:5" x14ac:dyDescent="0.3">
      <c r="A1365" s="4">
        <v>758</v>
      </c>
      <c r="B1365" s="4">
        <f t="shared" ca="1" si="72"/>
        <v>4.0000000000000008E-2</v>
      </c>
      <c r="C1365" s="4">
        <f t="shared" ca="1" si="73"/>
        <v>490242805.50264007</v>
      </c>
      <c r="D1365" s="2"/>
      <c r="E1365" s="2"/>
    </row>
    <row r="1366" spans="1:5" x14ac:dyDescent="0.3">
      <c r="A1366" s="4">
        <v>759</v>
      </c>
      <c r="B1366" s="4">
        <f t="shared" ca="1" si="72"/>
        <v>0.2</v>
      </c>
      <c r="C1366" s="4">
        <f t="shared" ca="1" si="73"/>
        <v>2451214027.5132003</v>
      </c>
    </row>
    <row r="1367" spans="1:5" x14ac:dyDescent="0.3">
      <c r="A1367" s="4">
        <v>760</v>
      </c>
      <c r="B1367" s="4">
        <f t="shared" ca="1" si="72"/>
        <v>0.16000000000000003</v>
      </c>
      <c r="C1367" s="4">
        <f t="shared" ca="1" si="73"/>
        <v>1960971222.0105603</v>
      </c>
    </row>
    <row r="1368" spans="1:5" x14ac:dyDescent="0.3">
      <c r="A1368" s="4">
        <v>761</v>
      </c>
      <c r="B1368" s="4">
        <f t="shared" ca="1" si="72"/>
        <v>4.0000000000000008E-2</v>
      </c>
      <c r="C1368" s="4">
        <f t="shared" ca="1" si="73"/>
        <v>490242805.50264007</v>
      </c>
    </row>
    <row r="1369" spans="1:5" x14ac:dyDescent="0.3">
      <c r="A1369" s="4">
        <v>762</v>
      </c>
      <c r="B1369" s="4">
        <f t="shared" ca="1" si="72"/>
        <v>0.27999999999999997</v>
      </c>
      <c r="C1369" s="4">
        <f t="shared" ca="1" si="73"/>
        <v>3431699638.5184798</v>
      </c>
    </row>
    <row r="1370" spans="1:5" x14ac:dyDescent="0.3">
      <c r="A1370" s="4">
        <v>763</v>
      </c>
      <c r="B1370" s="4">
        <f t="shared" ca="1" si="72"/>
        <v>0.36000000000000004</v>
      </c>
      <c r="C1370" s="4">
        <f t="shared" ca="1" si="73"/>
        <v>4412185249.5237608</v>
      </c>
      <c r="D1370" s="2"/>
      <c r="E1370" s="2"/>
    </row>
    <row r="1371" spans="1:5" x14ac:dyDescent="0.3">
      <c r="A1371" s="4">
        <v>764</v>
      </c>
      <c r="B1371" s="4">
        <f t="shared" ca="1" si="72"/>
        <v>0.2</v>
      </c>
      <c r="C1371" s="4">
        <f t="shared" ca="1" si="73"/>
        <v>2451214027.5132003</v>
      </c>
    </row>
    <row r="1372" spans="1:5" x14ac:dyDescent="0.3">
      <c r="A1372" s="4">
        <v>765</v>
      </c>
      <c r="B1372" s="4">
        <f t="shared" ca="1" si="72"/>
        <v>0.36000000000000004</v>
      </c>
      <c r="C1372" s="4">
        <f t="shared" ca="1" si="73"/>
        <v>4412185249.5237608</v>
      </c>
    </row>
    <row r="1373" spans="1:5" x14ac:dyDescent="0.3">
      <c r="A1373" s="4">
        <v>766</v>
      </c>
      <c r="B1373" s="4">
        <f t="shared" ca="1" si="72"/>
        <v>8.0000000000000016E-2</v>
      </c>
      <c r="C1373" s="4">
        <f t="shared" ca="1" si="73"/>
        <v>980485611.00528014</v>
      </c>
      <c r="D1373" s="2"/>
      <c r="E1373" s="2"/>
    </row>
    <row r="1374" spans="1:5" x14ac:dyDescent="0.3">
      <c r="A1374" s="4">
        <v>767</v>
      </c>
      <c r="B1374" s="4">
        <f t="shared" ca="1" si="72"/>
        <v>0.2</v>
      </c>
      <c r="C1374" s="4">
        <f t="shared" ca="1" si="73"/>
        <v>2451214027.5132003</v>
      </c>
    </row>
    <row r="1375" spans="1:5" x14ac:dyDescent="0.3">
      <c r="A1375" s="4">
        <v>768</v>
      </c>
      <c r="B1375" s="4">
        <f t="shared" ca="1" si="72"/>
        <v>0.27999999999999997</v>
      </c>
      <c r="C1375" s="4">
        <f t="shared" ca="1" si="73"/>
        <v>3431699638.5184798</v>
      </c>
      <c r="D1375" s="2"/>
      <c r="E1375" s="2"/>
    </row>
    <row r="1376" spans="1:5" x14ac:dyDescent="0.3">
      <c r="A1376" s="4">
        <v>769</v>
      </c>
      <c r="B1376" s="4">
        <f t="shared" ref="B1376:B1439" ca="1" si="74">ROUND(RAND(),1)*$E$601</f>
        <v>8.0000000000000016E-2</v>
      </c>
      <c r="C1376" s="4">
        <f t="shared" ref="C1376:C1439" ca="1" si="75">B1376*$E$600</f>
        <v>980485611.00528014</v>
      </c>
    </row>
    <row r="1377" spans="1:5" x14ac:dyDescent="0.3">
      <c r="A1377" s="4">
        <v>770</v>
      </c>
      <c r="B1377" s="4">
        <f t="shared" ca="1" si="74"/>
        <v>0</v>
      </c>
      <c r="C1377" s="4">
        <f t="shared" ca="1" si="75"/>
        <v>0</v>
      </c>
    </row>
    <row r="1378" spans="1:5" x14ac:dyDescent="0.3">
      <c r="A1378" s="4">
        <v>771</v>
      </c>
      <c r="B1378" s="4">
        <f t="shared" ca="1" si="74"/>
        <v>0.24</v>
      </c>
      <c r="C1378" s="4">
        <f t="shared" ca="1" si="75"/>
        <v>2941456833.0158401</v>
      </c>
    </row>
    <row r="1379" spans="1:5" x14ac:dyDescent="0.3">
      <c r="A1379" s="4">
        <v>772</v>
      </c>
      <c r="B1379" s="4">
        <f t="shared" ca="1" si="74"/>
        <v>0.36000000000000004</v>
      </c>
      <c r="C1379" s="4">
        <f t="shared" ca="1" si="75"/>
        <v>4412185249.5237608</v>
      </c>
    </row>
    <row r="1380" spans="1:5" x14ac:dyDescent="0.3">
      <c r="A1380" s="4">
        <v>773</v>
      </c>
      <c r="B1380" s="4">
        <f t="shared" ca="1" si="74"/>
        <v>0.12</v>
      </c>
      <c r="C1380" s="4">
        <f t="shared" ca="1" si="75"/>
        <v>1470728416.50792</v>
      </c>
      <c r="D1380" s="2"/>
      <c r="E1380" s="2"/>
    </row>
    <row r="1381" spans="1:5" x14ac:dyDescent="0.3">
      <c r="A1381" s="4">
        <v>774</v>
      </c>
      <c r="B1381" s="4">
        <f t="shared" ca="1" si="74"/>
        <v>0.36000000000000004</v>
      </c>
      <c r="C1381" s="4">
        <f t="shared" ca="1" si="75"/>
        <v>4412185249.5237608</v>
      </c>
    </row>
    <row r="1382" spans="1:5" x14ac:dyDescent="0.3">
      <c r="A1382" s="4">
        <v>775</v>
      </c>
      <c r="B1382" s="4">
        <f t="shared" ca="1" si="74"/>
        <v>4.0000000000000008E-2</v>
      </c>
      <c r="C1382" s="4">
        <f t="shared" ca="1" si="75"/>
        <v>490242805.50264007</v>
      </c>
    </row>
    <row r="1383" spans="1:5" x14ac:dyDescent="0.3">
      <c r="A1383" s="4">
        <v>776</v>
      </c>
      <c r="B1383" s="4">
        <f t="shared" ca="1" si="74"/>
        <v>4.0000000000000008E-2</v>
      </c>
      <c r="C1383" s="4">
        <f t="shared" ca="1" si="75"/>
        <v>490242805.50264007</v>
      </c>
      <c r="D1383" s="2"/>
      <c r="E1383" s="2"/>
    </row>
    <row r="1384" spans="1:5" x14ac:dyDescent="0.3">
      <c r="A1384" s="4">
        <v>777</v>
      </c>
      <c r="B1384" s="4">
        <f t="shared" ca="1" si="74"/>
        <v>0</v>
      </c>
      <c r="C1384" s="4">
        <f t="shared" ca="1" si="75"/>
        <v>0</v>
      </c>
    </row>
    <row r="1385" spans="1:5" x14ac:dyDescent="0.3">
      <c r="A1385" s="4">
        <v>778</v>
      </c>
      <c r="B1385" s="4">
        <f t="shared" ca="1" si="74"/>
        <v>0.2</v>
      </c>
      <c r="C1385" s="4">
        <f t="shared" ca="1" si="75"/>
        <v>2451214027.5132003</v>
      </c>
      <c r="D1385" s="2"/>
      <c r="E1385" s="2"/>
    </row>
    <row r="1386" spans="1:5" x14ac:dyDescent="0.3">
      <c r="A1386" s="4">
        <v>779</v>
      </c>
      <c r="B1386" s="4">
        <f t="shared" ca="1" si="74"/>
        <v>0.36000000000000004</v>
      </c>
      <c r="C1386" s="4">
        <f t="shared" ca="1" si="75"/>
        <v>4412185249.5237608</v>
      </c>
    </row>
    <row r="1387" spans="1:5" x14ac:dyDescent="0.3">
      <c r="A1387" s="4">
        <v>780</v>
      </c>
      <c r="B1387" s="4">
        <f t="shared" ca="1" si="74"/>
        <v>0.2</v>
      </c>
      <c r="C1387" s="4">
        <f t="shared" ca="1" si="75"/>
        <v>2451214027.5132003</v>
      </c>
    </row>
    <row r="1388" spans="1:5" x14ac:dyDescent="0.3">
      <c r="A1388" s="4">
        <v>781</v>
      </c>
      <c r="B1388" s="4">
        <f t="shared" ca="1" si="74"/>
        <v>0.12</v>
      </c>
      <c r="C1388" s="4">
        <f t="shared" ca="1" si="75"/>
        <v>1470728416.50792</v>
      </c>
    </row>
    <row r="1389" spans="1:5" x14ac:dyDescent="0.3">
      <c r="A1389" s="4">
        <v>782</v>
      </c>
      <c r="B1389" s="4">
        <f t="shared" ca="1" si="74"/>
        <v>0.12</v>
      </c>
      <c r="C1389" s="4">
        <f t="shared" ca="1" si="75"/>
        <v>1470728416.50792</v>
      </c>
    </row>
    <row r="1390" spans="1:5" x14ac:dyDescent="0.3">
      <c r="A1390" s="4">
        <v>783</v>
      </c>
      <c r="B1390" s="4">
        <f t="shared" ca="1" si="74"/>
        <v>0</v>
      </c>
      <c r="C1390" s="4">
        <f t="shared" ca="1" si="75"/>
        <v>0</v>
      </c>
      <c r="D1390" s="2"/>
      <c r="E1390" s="2"/>
    </row>
    <row r="1391" spans="1:5" x14ac:dyDescent="0.3">
      <c r="A1391" s="4">
        <v>784</v>
      </c>
      <c r="B1391" s="4">
        <f t="shared" ca="1" si="74"/>
        <v>0.27999999999999997</v>
      </c>
      <c r="C1391" s="4">
        <f t="shared" ca="1" si="75"/>
        <v>3431699638.5184798</v>
      </c>
    </row>
    <row r="1392" spans="1:5" x14ac:dyDescent="0.3">
      <c r="A1392" s="4">
        <v>785</v>
      </c>
      <c r="B1392" s="4">
        <f t="shared" ca="1" si="74"/>
        <v>4.0000000000000008E-2</v>
      </c>
      <c r="C1392" s="4">
        <f t="shared" ca="1" si="75"/>
        <v>490242805.50264007</v>
      </c>
    </row>
    <row r="1393" spans="1:5" x14ac:dyDescent="0.3">
      <c r="A1393" s="4">
        <v>786</v>
      </c>
      <c r="B1393" s="4">
        <f t="shared" ca="1" si="74"/>
        <v>0.16000000000000003</v>
      </c>
      <c r="C1393" s="4">
        <f t="shared" ca="1" si="75"/>
        <v>1960971222.0105603</v>
      </c>
      <c r="D1393" s="2"/>
      <c r="E1393" s="2"/>
    </row>
    <row r="1394" spans="1:5" x14ac:dyDescent="0.3">
      <c r="A1394" s="4">
        <v>787</v>
      </c>
      <c r="B1394" s="4">
        <f t="shared" ca="1" si="74"/>
        <v>0.12</v>
      </c>
      <c r="C1394" s="4">
        <f t="shared" ca="1" si="75"/>
        <v>1470728416.50792</v>
      </c>
    </row>
    <row r="1395" spans="1:5" x14ac:dyDescent="0.3">
      <c r="A1395" s="4">
        <v>788</v>
      </c>
      <c r="B1395" s="4">
        <f t="shared" ca="1" si="74"/>
        <v>8.0000000000000016E-2</v>
      </c>
      <c r="C1395" s="4">
        <f t="shared" ca="1" si="75"/>
        <v>980485611.00528014</v>
      </c>
      <c r="D1395" s="2"/>
      <c r="E1395" s="2"/>
    </row>
    <row r="1396" spans="1:5" x14ac:dyDescent="0.3">
      <c r="A1396" s="4">
        <v>789</v>
      </c>
      <c r="B1396" s="4">
        <f t="shared" ca="1" si="74"/>
        <v>0.2</v>
      </c>
      <c r="C1396" s="4">
        <f t="shared" ca="1" si="75"/>
        <v>2451214027.5132003</v>
      </c>
    </row>
    <row r="1397" spans="1:5" x14ac:dyDescent="0.3">
      <c r="A1397" s="4">
        <v>790</v>
      </c>
      <c r="B1397" s="4">
        <f t="shared" ca="1" si="74"/>
        <v>8.0000000000000016E-2</v>
      </c>
      <c r="C1397" s="4">
        <f t="shared" ca="1" si="75"/>
        <v>980485611.00528014</v>
      </c>
    </row>
    <row r="1398" spans="1:5" x14ac:dyDescent="0.3">
      <c r="A1398" s="4">
        <v>791</v>
      </c>
      <c r="B1398" s="4">
        <f t="shared" ca="1" si="74"/>
        <v>0.24</v>
      </c>
      <c r="C1398" s="4">
        <f t="shared" ca="1" si="75"/>
        <v>2941456833.0158401</v>
      </c>
    </row>
    <row r="1399" spans="1:5" x14ac:dyDescent="0.3">
      <c r="A1399" s="4">
        <v>792</v>
      </c>
      <c r="B1399" s="4">
        <f t="shared" ca="1" si="74"/>
        <v>0.36000000000000004</v>
      </c>
      <c r="C1399" s="4">
        <f t="shared" ca="1" si="75"/>
        <v>4412185249.5237608</v>
      </c>
    </row>
    <row r="1400" spans="1:5" x14ac:dyDescent="0.3">
      <c r="A1400" s="4">
        <v>793</v>
      </c>
      <c r="B1400" s="4">
        <f t="shared" ca="1" si="74"/>
        <v>0.24</v>
      </c>
      <c r="C1400" s="4">
        <f t="shared" ca="1" si="75"/>
        <v>2941456833.0158401</v>
      </c>
      <c r="D1400" s="2"/>
      <c r="E1400" s="2"/>
    </row>
    <row r="1401" spans="1:5" x14ac:dyDescent="0.3">
      <c r="A1401" s="4">
        <v>794</v>
      </c>
      <c r="B1401" s="4">
        <f t="shared" ca="1" si="74"/>
        <v>0.4</v>
      </c>
      <c r="C1401" s="4">
        <f t="shared" ca="1" si="75"/>
        <v>4902428055.0264006</v>
      </c>
    </row>
    <row r="1402" spans="1:5" x14ac:dyDescent="0.3">
      <c r="A1402" s="4">
        <v>795</v>
      </c>
      <c r="B1402" s="4">
        <f t="shared" ca="1" si="74"/>
        <v>0.32000000000000006</v>
      </c>
      <c r="C1402" s="4">
        <f t="shared" ca="1" si="75"/>
        <v>3921942444.0211205</v>
      </c>
    </row>
    <row r="1403" spans="1:5" x14ac:dyDescent="0.3">
      <c r="A1403" s="4">
        <v>796</v>
      </c>
      <c r="B1403" s="4">
        <f t="shared" ca="1" si="74"/>
        <v>0.12</v>
      </c>
      <c r="C1403" s="4">
        <f t="shared" ca="1" si="75"/>
        <v>1470728416.50792</v>
      </c>
      <c r="D1403" s="2"/>
      <c r="E1403" s="2"/>
    </row>
    <row r="1404" spans="1:5" x14ac:dyDescent="0.3">
      <c r="A1404" s="4">
        <v>797</v>
      </c>
      <c r="B1404" s="4">
        <f t="shared" ca="1" si="74"/>
        <v>0</v>
      </c>
      <c r="C1404" s="4">
        <f t="shared" ca="1" si="75"/>
        <v>0</v>
      </c>
    </row>
    <row r="1405" spans="1:5" x14ac:dyDescent="0.3">
      <c r="A1405" s="4">
        <v>798</v>
      </c>
      <c r="B1405" s="4">
        <f t="shared" ca="1" si="74"/>
        <v>8.0000000000000016E-2</v>
      </c>
      <c r="C1405" s="4">
        <f t="shared" ca="1" si="75"/>
        <v>980485611.00528014</v>
      </c>
      <c r="D1405" s="2"/>
      <c r="E1405" s="2"/>
    </row>
    <row r="1406" spans="1:5" x14ac:dyDescent="0.3">
      <c r="A1406" s="4">
        <v>799</v>
      </c>
      <c r="B1406" s="4">
        <f t="shared" ca="1" si="74"/>
        <v>0.36000000000000004</v>
      </c>
      <c r="C1406" s="4">
        <f t="shared" ca="1" si="75"/>
        <v>4412185249.5237608</v>
      </c>
    </row>
    <row r="1407" spans="1:5" x14ac:dyDescent="0.3">
      <c r="A1407" s="4">
        <v>800</v>
      </c>
      <c r="B1407" s="4">
        <f t="shared" ca="1" si="74"/>
        <v>0.16000000000000003</v>
      </c>
      <c r="C1407" s="4">
        <f t="shared" ca="1" si="75"/>
        <v>1960971222.0105603</v>
      </c>
    </row>
    <row r="1408" spans="1:5" x14ac:dyDescent="0.3">
      <c r="A1408" s="4">
        <v>801</v>
      </c>
      <c r="B1408" s="4">
        <f t="shared" ca="1" si="74"/>
        <v>0.2</v>
      </c>
      <c r="C1408" s="4">
        <f t="shared" ca="1" si="75"/>
        <v>2451214027.5132003</v>
      </c>
    </row>
    <row r="1409" spans="1:5" x14ac:dyDescent="0.3">
      <c r="A1409" s="4">
        <v>802</v>
      </c>
      <c r="B1409" s="4">
        <f t="shared" ca="1" si="74"/>
        <v>0.12</v>
      </c>
      <c r="C1409" s="4">
        <f t="shared" ca="1" si="75"/>
        <v>1470728416.50792</v>
      </c>
    </row>
    <row r="1410" spans="1:5" x14ac:dyDescent="0.3">
      <c r="A1410" s="4">
        <v>803</v>
      </c>
      <c r="B1410" s="4">
        <f t="shared" ca="1" si="74"/>
        <v>0.36000000000000004</v>
      </c>
      <c r="C1410" s="4">
        <f t="shared" ca="1" si="75"/>
        <v>4412185249.5237608</v>
      </c>
      <c r="D1410" s="2"/>
      <c r="E1410" s="2"/>
    </row>
    <row r="1411" spans="1:5" x14ac:dyDescent="0.3">
      <c r="A1411" s="4">
        <v>804</v>
      </c>
      <c r="B1411" s="4">
        <f t="shared" ca="1" si="74"/>
        <v>0.24</v>
      </c>
      <c r="C1411" s="4">
        <f t="shared" ca="1" si="75"/>
        <v>2941456833.0158401</v>
      </c>
    </row>
    <row r="1412" spans="1:5" x14ac:dyDescent="0.3">
      <c r="A1412" s="4">
        <v>805</v>
      </c>
      <c r="B1412" s="4">
        <f t="shared" ca="1" si="74"/>
        <v>0.2</v>
      </c>
      <c r="C1412" s="4">
        <f t="shared" ca="1" si="75"/>
        <v>2451214027.5132003</v>
      </c>
    </row>
    <row r="1413" spans="1:5" x14ac:dyDescent="0.3">
      <c r="A1413" s="4">
        <v>806</v>
      </c>
      <c r="B1413" s="4">
        <f t="shared" ca="1" si="74"/>
        <v>0.24</v>
      </c>
      <c r="C1413" s="4">
        <f t="shared" ca="1" si="75"/>
        <v>2941456833.0158401</v>
      </c>
      <c r="D1413" s="2"/>
      <c r="E1413" s="2"/>
    </row>
    <row r="1414" spans="1:5" x14ac:dyDescent="0.3">
      <c r="A1414" s="4">
        <v>807</v>
      </c>
      <c r="B1414" s="4">
        <f t="shared" ca="1" si="74"/>
        <v>0.27999999999999997</v>
      </c>
      <c r="C1414" s="4">
        <f t="shared" ca="1" si="75"/>
        <v>3431699638.5184798</v>
      </c>
    </row>
    <row r="1415" spans="1:5" x14ac:dyDescent="0.3">
      <c r="A1415" s="4">
        <v>808</v>
      </c>
      <c r="B1415" s="4">
        <f t="shared" ca="1" si="74"/>
        <v>0.27999999999999997</v>
      </c>
      <c r="C1415" s="4">
        <f t="shared" ca="1" si="75"/>
        <v>3431699638.5184798</v>
      </c>
      <c r="D1415" s="2"/>
      <c r="E1415" s="2"/>
    </row>
    <row r="1416" spans="1:5" x14ac:dyDescent="0.3">
      <c r="A1416" s="4">
        <v>809</v>
      </c>
      <c r="B1416" s="4">
        <f t="shared" ca="1" si="74"/>
        <v>0.36000000000000004</v>
      </c>
      <c r="C1416" s="4">
        <f t="shared" ca="1" si="75"/>
        <v>4412185249.5237608</v>
      </c>
    </row>
    <row r="1417" spans="1:5" x14ac:dyDescent="0.3">
      <c r="A1417" s="4">
        <v>810</v>
      </c>
      <c r="B1417" s="4">
        <f t="shared" ca="1" si="74"/>
        <v>0.32000000000000006</v>
      </c>
      <c r="C1417" s="4">
        <f t="shared" ca="1" si="75"/>
        <v>3921942444.0211205</v>
      </c>
    </row>
    <row r="1418" spans="1:5" x14ac:dyDescent="0.3">
      <c r="A1418" s="4">
        <v>811</v>
      </c>
      <c r="B1418" s="4">
        <f t="shared" ca="1" si="74"/>
        <v>0.27999999999999997</v>
      </c>
      <c r="C1418" s="4">
        <f t="shared" ca="1" si="75"/>
        <v>3431699638.5184798</v>
      </c>
    </row>
    <row r="1419" spans="1:5" x14ac:dyDescent="0.3">
      <c r="A1419" s="4">
        <v>812</v>
      </c>
      <c r="B1419" s="4">
        <f t="shared" ca="1" si="74"/>
        <v>4.0000000000000008E-2</v>
      </c>
      <c r="C1419" s="4">
        <f t="shared" ca="1" si="75"/>
        <v>490242805.50264007</v>
      </c>
    </row>
    <row r="1420" spans="1:5" x14ac:dyDescent="0.3">
      <c r="A1420" s="4">
        <v>813</v>
      </c>
      <c r="B1420" s="4">
        <f t="shared" ca="1" si="74"/>
        <v>0.2</v>
      </c>
      <c r="C1420" s="4">
        <f t="shared" ca="1" si="75"/>
        <v>2451214027.5132003</v>
      </c>
      <c r="D1420" s="2"/>
      <c r="E1420" s="2"/>
    </row>
    <row r="1421" spans="1:5" x14ac:dyDescent="0.3">
      <c r="A1421" s="4">
        <v>814</v>
      </c>
      <c r="B1421" s="4">
        <f t="shared" ca="1" si="74"/>
        <v>0.36000000000000004</v>
      </c>
      <c r="C1421" s="4">
        <f t="shared" ca="1" si="75"/>
        <v>4412185249.5237608</v>
      </c>
    </row>
    <row r="1422" spans="1:5" x14ac:dyDescent="0.3">
      <c r="A1422" s="4">
        <v>815</v>
      </c>
      <c r="B1422" s="4">
        <f t="shared" ca="1" si="74"/>
        <v>0.27999999999999997</v>
      </c>
      <c r="C1422" s="4">
        <f t="shared" ca="1" si="75"/>
        <v>3431699638.5184798</v>
      </c>
    </row>
    <row r="1423" spans="1:5" x14ac:dyDescent="0.3">
      <c r="A1423" s="4">
        <v>816</v>
      </c>
      <c r="B1423" s="4">
        <f t="shared" ca="1" si="74"/>
        <v>4.0000000000000008E-2</v>
      </c>
      <c r="C1423" s="4">
        <f t="shared" ca="1" si="75"/>
        <v>490242805.50264007</v>
      </c>
      <c r="D1423" s="2"/>
      <c r="E1423" s="2"/>
    </row>
    <row r="1424" spans="1:5" x14ac:dyDescent="0.3">
      <c r="A1424" s="4">
        <v>817</v>
      </c>
      <c r="B1424" s="4">
        <f t="shared" ca="1" si="74"/>
        <v>0.27999999999999997</v>
      </c>
      <c r="C1424" s="4">
        <f t="shared" ca="1" si="75"/>
        <v>3431699638.5184798</v>
      </c>
    </row>
    <row r="1425" spans="1:5" x14ac:dyDescent="0.3">
      <c r="A1425" s="4">
        <v>818</v>
      </c>
      <c r="B1425" s="4">
        <f t="shared" ca="1" si="74"/>
        <v>0.2</v>
      </c>
      <c r="C1425" s="4">
        <f t="shared" ca="1" si="75"/>
        <v>2451214027.5132003</v>
      </c>
      <c r="D1425" s="2"/>
      <c r="E1425" s="2"/>
    </row>
    <row r="1426" spans="1:5" x14ac:dyDescent="0.3">
      <c r="A1426" s="4">
        <v>819</v>
      </c>
      <c r="B1426" s="4">
        <f t="shared" ca="1" si="74"/>
        <v>0.32000000000000006</v>
      </c>
      <c r="C1426" s="4">
        <f t="shared" ca="1" si="75"/>
        <v>3921942444.0211205</v>
      </c>
    </row>
    <row r="1427" spans="1:5" x14ac:dyDescent="0.3">
      <c r="A1427" s="4">
        <v>820</v>
      </c>
      <c r="B1427" s="4">
        <f t="shared" ca="1" si="74"/>
        <v>8.0000000000000016E-2</v>
      </c>
      <c r="C1427" s="4">
        <f t="shared" ca="1" si="75"/>
        <v>980485611.00528014</v>
      </c>
    </row>
    <row r="1428" spans="1:5" x14ac:dyDescent="0.3">
      <c r="A1428" s="4">
        <v>821</v>
      </c>
      <c r="B1428" s="4">
        <f t="shared" ca="1" si="74"/>
        <v>0.16000000000000003</v>
      </c>
      <c r="C1428" s="4">
        <f t="shared" ca="1" si="75"/>
        <v>1960971222.0105603</v>
      </c>
    </row>
    <row r="1429" spans="1:5" x14ac:dyDescent="0.3">
      <c r="A1429" s="4">
        <v>822</v>
      </c>
      <c r="B1429" s="4">
        <f t="shared" ca="1" si="74"/>
        <v>0.24</v>
      </c>
      <c r="C1429" s="4">
        <f t="shared" ca="1" si="75"/>
        <v>2941456833.0158401</v>
      </c>
    </row>
    <row r="1430" spans="1:5" x14ac:dyDescent="0.3">
      <c r="A1430" s="4">
        <v>823</v>
      </c>
      <c r="B1430" s="4">
        <f t="shared" ca="1" si="74"/>
        <v>0.2</v>
      </c>
      <c r="C1430" s="4">
        <f t="shared" ca="1" si="75"/>
        <v>2451214027.5132003</v>
      </c>
      <c r="D1430" s="2"/>
      <c r="E1430" s="2"/>
    </row>
    <row r="1431" spans="1:5" x14ac:dyDescent="0.3">
      <c r="A1431" s="4">
        <v>824</v>
      </c>
      <c r="B1431" s="4">
        <f t="shared" ca="1" si="74"/>
        <v>0.27999999999999997</v>
      </c>
      <c r="C1431" s="4">
        <f t="shared" ca="1" si="75"/>
        <v>3431699638.5184798</v>
      </c>
    </row>
    <row r="1432" spans="1:5" x14ac:dyDescent="0.3">
      <c r="A1432" s="4">
        <v>825</v>
      </c>
      <c r="B1432" s="4">
        <f t="shared" ca="1" si="74"/>
        <v>0</v>
      </c>
      <c r="C1432" s="4">
        <f t="shared" ca="1" si="75"/>
        <v>0</v>
      </c>
    </row>
    <row r="1433" spans="1:5" x14ac:dyDescent="0.3">
      <c r="A1433" s="4">
        <v>826</v>
      </c>
      <c r="B1433" s="4">
        <f t="shared" ca="1" si="74"/>
        <v>0.24</v>
      </c>
      <c r="C1433" s="4">
        <f t="shared" ca="1" si="75"/>
        <v>2941456833.0158401</v>
      </c>
      <c r="D1433" s="2"/>
      <c r="E1433" s="2"/>
    </row>
    <row r="1434" spans="1:5" ht="21" customHeight="1" x14ac:dyDescent="0.3">
      <c r="A1434" s="4">
        <v>827</v>
      </c>
      <c r="B1434" s="4">
        <f t="shared" ca="1" si="74"/>
        <v>0.16000000000000003</v>
      </c>
      <c r="C1434" s="4">
        <f t="shared" ca="1" si="75"/>
        <v>1960971222.0105603</v>
      </c>
    </row>
    <row r="1435" spans="1:5" x14ac:dyDescent="0.3">
      <c r="A1435" s="4">
        <v>828</v>
      </c>
      <c r="B1435" s="4">
        <f t="shared" ca="1" si="74"/>
        <v>0.36000000000000004</v>
      </c>
      <c r="C1435" s="4">
        <f t="shared" ca="1" si="75"/>
        <v>4412185249.5237608</v>
      </c>
      <c r="D1435" s="2"/>
      <c r="E1435" s="2"/>
    </row>
    <row r="1436" spans="1:5" x14ac:dyDescent="0.3">
      <c r="A1436" s="4">
        <v>829</v>
      </c>
      <c r="B1436" s="4">
        <f t="shared" ca="1" si="74"/>
        <v>0.27999999999999997</v>
      </c>
      <c r="C1436" s="4">
        <f t="shared" ca="1" si="75"/>
        <v>3431699638.5184798</v>
      </c>
    </row>
    <row r="1437" spans="1:5" x14ac:dyDescent="0.3">
      <c r="A1437" s="4">
        <v>830</v>
      </c>
      <c r="B1437" s="4">
        <f t="shared" ca="1" si="74"/>
        <v>0.12</v>
      </c>
      <c r="C1437" s="4">
        <f t="shared" ca="1" si="75"/>
        <v>1470728416.50792</v>
      </c>
    </row>
    <row r="1438" spans="1:5" x14ac:dyDescent="0.3">
      <c r="A1438" s="4">
        <v>831</v>
      </c>
      <c r="B1438" s="4">
        <f t="shared" ca="1" si="74"/>
        <v>0.24</v>
      </c>
      <c r="C1438" s="4">
        <f t="shared" ca="1" si="75"/>
        <v>2941456833.0158401</v>
      </c>
    </row>
    <row r="1439" spans="1:5" x14ac:dyDescent="0.3">
      <c r="A1439" s="4">
        <v>832</v>
      </c>
      <c r="B1439" s="4">
        <f t="shared" ca="1" si="74"/>
        <v>0.2</v>
      </c>
      <c r="C1439" s="4">
        <f t="shared" ca="1" si="75"/>
        <v>2451214027.5132003</v>
      </c>
    </row>
    <row r="1440" spans="1:5" x14ac:dyDescent="0.3">
      <c r="A1440" s="4">
        <v>833</v>
      </c>
      <c r="B1440" s="4">
        <f t="shared" ref="B1440:B1503" ca="1" si="76">ROUND(RAND(),1)*$E$601</f>
        <v>0.12</v>
      </c>
      <c r="C1440" s="4">
        <f t="shared" ref="C1440:C1503" ca="1" si="77">B1440*$E$600</f>
        <v>1470728416.50792</v>
      </c>
      <c r="D1440" s="2"/>
      <c r="E1440" s="2"/>
    </row>
    <row r="1441" spans="1:5" ht="13.8" customHeight="1" x14ac:dyDescent="0.3">
      <c r="A1441" s="4">
        <v>834</v>
      </c>
      <c r="B1441" s="4">
        <f t="shared" ca="1" si="76"/>
        <v>0.2</v>
      </c>
      <c r="C1441" s="4">
        <f t="shared" ca="1" si="77"/>
        <v>2451214027.5132003</v>
      </c>
    </row>
    <row r="1442" spans="1:5" x14ac:dyDescent="0.3">
      <c r="A1442" s="4">
        <v>835</v>
      </c>
      <c r="B1442" s="4">
        <f t="shared" ca="1" si="76"/>
        <v>0.24</v>
      </c>
      <c r="C1442" s="4">
        <f t="shared" ca="1" si="77"/>
        <v>2941456833.0158401</v>
      </c>
    </row>
    <row r="1443" spans="1:5" x14ac:dyDescent="0.3">
      <c r="A1443" s="4">
        <v>836</v>
      </c>
      <c r="B1443" s="4">
        <f t="shared" ca="1" si="76"/>
        <v>0.32000000000000006</v>
      </c>
      <c r="C1443" s="4">
        <f t="shared" ca="1" si="77"/>
        <v>3921942444.0211205</v>
      </c>
      <c r="D1443" s="2"/>
      <c r="E1443" s="2"/>
    </row>
    <row r="1444" spans="1:5" x14ac:dyDescent="0.3">
      <c r="A1444" s="4">
        <v>837</v>
      </c>
      <c r="B1444" s="4">
        <f t="shared" ca="1" si="76"/>
        <v>4.0000000000000008E-2</v>
      </c>
      <c r="C1444" s="4">
        <f t="shared" ca="1" si="77"/>
        <v>490242805.50264007</v>
      </c>
    </row>
    <row r="1445" spans="1:5" x14ac:dyDescent="0.3">
      <c r="A1445" s="4">
        <v>838</v>
      </c>
      <c r="B1445" s="4">
        <f t="shared" ca="1" si="76"/>
        <v>4.0000000000000008E-2</v>
      </c>
      <c r="C1445" s="4">
        <f t="shared" ca="1" si="77"/>
        <v>490242805.50264007</v>
      </c>
      <c r="D1445" s="2"/>
      <c r="E1445" s="2"/>
    </row>
    <row r="1446" spans="1:5" x14ac:dyDescent="0.3">
      <c r="A1446" s="4">
        <v>839</v>
      </c>
      <c r="B1446" s="4">
        <f t="shared" ca="1" si="76"/>
        <v>0.12</v>
      </c>
      <c r="C1446" s="4">
        <f t="shared" ca="1" si="77"/>
        <v>1470728416.50792</v>
      </c>
    </row>
    <row r="1447" spans="1:5" x14ac:dyDescent="0.3">
      <c r="A1447" s="4">
        <v>840</v>
      </c>
      <c r="B1447" s="4">
        <f t="shared" ca="1" si="76"/>
        <v>0.16000000000000003</v>
      </c>
      <c r="C1447" s="4">
        <f t="shared" ca="1" si="77"/>
        <v>1960971222.0105603</v>
      </c>
    </row>
    <row r="1448" spans="1:5" x14ac:dyDescent="0.3">
      <c r="A1448" s="4">
        <v>841</v>
      </c>
      <c r="B1448" s="4">
        <f t="shared" ca="1" si="76"/>
        <v>0.36000000000000004</v>
      </c>
      <c r="C1448" s="4">
        <f t="shared" ca="1" si="77"/>
        <v>4412185249.5237608</v>
      </c>
    </row>
    <row r="1449" spans="1:5" x14ac:dyDescent="0.3">
      <c r="A1449" s="4">
        <v>842</v>
      </c>
      <c r="B1449" s="4">
        <f t="shared" ca="1" si="76"/>
        <v>8.0000000000000016E-2</v>
      </c>
      <c r="C1449" s="4">
        <f t="shared" ca="1" si="77"/>
        <v>980485611.00528014</v>
      </c>
    </row>
    <row r="1450" spans="1:5" x14ac:dyDescent="0.3">
      <c r="A1450" s="4">
        <v>843</v>
      </c>
      <c r="B1450" s="4">
        <f t="shared" ca="1" si="76"/>
        <v>0.32000000000000006</v>
      </c>
      <c r="C1450" s="4">
        <f t="shared" ca="1" si="77"/>
        <v>3921942444.0211205</v>
      </c>
      <c r="D1450" s="2"/>
      <c r="E1450" s="2"/>
    </row>
    <row r="1451" spans="1:5" x14ac:dyDescent="0.3">
      <c r="A1451" s="4">
        <v>844</v>
      </c>
      <c r="B1451" s="4">
        <f t="shared" ca="1" si="76"/>
        <v>0.2</v>
      </c>
      <c r="C1451" s="4">
        <f t="shared" ca="1" si="77"/>
        <v>2451214027.5132003</v>
      </c>
    </row>
    <row r="1452" spans="1:5" x14ac:dyDescent="0.3">
      <c r="A1452" s="4">
        <v>845</v>
      </c>
      <c r="B1452" s="4">
        <f t="shared" ca="1" si="76"/>
        <v>0.16000000000000003</v>
      </c>
      <c r="C1452" s="4">
        <f t="shared" ca="1" si="77"/>
        <v>1960971222.0105603</v>
      </c>
    </row>
    <row r="1453" spans="1:5" x14ac:dyDescent="0.3">
      <c r="A1453" s="4">
        <v>846</v>
      </c>
      <c r="B1453" s="4">
        <f t="shared" ca="1" si="76"/>
        <v>0.12</v>
      </c>
      <c r="C1453" s="4">
        <f t="shared" ca="1" si="77"/>
        <v>1470728416.50792</v>
      </c>
      <c r="D1453" s="2"/>
      <c r="E1453" s="2"/>
    </row>
    <row r="1454" spans="1:5" x14ac:dyDescent="0.3">
      <c r="A1454" s="4">
        <v>847</v>
      </c>
      <c r="B1454" s="4">
        <f t="shared" ca="1" si="76"/>
        <v>4.0000000000000008E-2</v>
      </c>
      <c r="C1454" s="4">
        <f t="shared" ca="1" si="77"/>
        <v>490242805.50264007</v>
      </c>
    </row>
    <row r="1455" spans="1:5" x14ac:dyDescent="0.3">
      <c r="A1455" s="4">
        <v>848</v>
      </c>
      <c r="B1455" s="4">
        <f t="shared" ca="1" si="76"/>
        <v>0.36000000000000004</v>
      </c>
      <c r="C1455" s="4">
        <f t="shared" ca="1" si="77"/>
        <v>4412185249.5237608</v>
      </c>
      <c r="D1455" s="2"/>
      <c r="E1455" s="2"/>
    </row>
    <row r="1456" spans="1:5" x14ac:dyDescent="0.3">
      <c r="A1456" s="4">
        <v>849</v>
      </c>
      <c r="B1456" s="4">
        <f t="shared" ca="1" si="76"/>
        <v>0.16000000000000003</v>
      </c>
      <c r="C1456" s="4">
        <f t="shared" ca="1" si="77"/>
        <v>1960971222.0105603</v>
      </c>
    </row>
    <row r="1457" spans="1:5" x14ac:dyDescent="0.3">
      <c r="A1457" s="4">
        <v>850</v>
      </c>
      <c r="B1457" s="4">
        <f t="shared" ca="1" si="76"/>
        <v>0.16000000000000003</v>
      </c>
      <c r="C1457" s="4">
        <f t="shared" ca="1" si="77"/>
        <v>1960971222.0105603</v>
      </c>
    </row>
    <row r="1458" spans="1:5" x14ac:dyDescent="0.3">
      <c r="A1458" s="4">
        <v>851</v>
      </c>
      <c r="B1458" s="4">
        <f t="shared" ca="1" si="76"/>
        <v>0.24</v>
      </c>
      <c r="C1458" s="4">
        <f t="shared" ca="1" si="77"/>
        <v>2941456833.0158401</v>
      </c>
    </row>
    <row r="1459" spans="1:5" x14ac:dyDescent="0.3">
      <c r="A1459" s="4">
        <v>852</v>
      </c>
      <c r="B1459" s="4">
        <f t="shared" ca="1" si="76"/>
        <v>0.24</v>
      </c>
      <c r="C1459" s="4">
        <f t="shared" ca="1" si="77"/>
        <v>2941456833.0158401</v>
      </c>
    </row>
    <row r="1460" spans="1:5" x14ac:dyDescent="0.3">
      <c r="A1460" s="4">
        <v>853</v>
      </c>
      <c r="B1460" s="4">
        <f t="shared" ca="1" si="76"/>
        <v>8.0000000000000016E-2</v>
      </c>
      <c r="C1460" s="4">
        <f t="shared" ca="1" si="77"/>
        <v>980485611.00528014</v>
      </c>
      <c r="D1460" s="2"/>
      <c r="E1460" s="2"/>
    </row>
    <row r="1461" spans="1:5" x14ac:dyDescent="0.3">
      <c r="A1461" s="4">
        <v>854</v>
      </c>
      <c r="B1461" s="4">
        <f t="shared" ca="1" si="76"/>
        <v>0.32000000000000006</v>
      </c>
      <c r="C1461" s="4">
        <f t="shared" ca="1" si="77"/>
        <v>3921942444.0211205</v>
      </c>
    </row>
    <row r="1462" spans="1:5" x14ac:dyDescent="0.3">
      <c r="A1462" s="4">
        <v>855</v>
      </c>
      <c r="B1462" s="4">
        <f t="shared" ca="1" si="76"/>
        <v>0.36000000000000004</v>
      </c>
      <c r="C1462" s="4">
        <f t="shared" ca="1" si="77"/>
        <v>4412185249.5237608</v>
      </c>
    </row>
    <row r="1463" spans="1:5" x14ac:dyDescent="0.3">
      <c r="A1463" s="4">
        <v>856</v>
      </c>
      <c r="B1463" s="4">
        <f t="shared" ca="1" si="76"/>
        <v>0.27999999999999997</v>
      </c>
      <c r="C1463" s="4">
        <f t="shared" ca="1" si="77"/>
        <v>3431699638.5184798</v>
      </c>
      <c r="D1463" s="2"/>
      <c r="E1463" s="2"/>
    </row>
    <row r="1464" spans="1:5" x14ac:dyDescent="0.3">
      <c r="A1464" s="4">
        <v>857</v>
      </c>
      <c r="B1464" s="4">
        <f t="shared" ca="1" si="76"/>
        <v>0.32000000000000006</v>
      </c>
      <c r="C1464" s="4">
        <f t="shared" ca="1" si="77"/>
        <v>3921942444.0211205</v>
      </c>
    </row>
    <row r="1465" spans="1:5" x14ac:dyDescent="0.3">
      <c r="A1465" s="4">
        <v>858</v>
      </c>
      <c r="B1465" s="4">
        <f t="shared" ca="1" si="76"/>
        <v>8.0000000000000016E-2</v>
      </c>
      <c r="C1465" s="4">
        <f t="shared" ca="1" si="77"/>
        <v>980485611.00528014</v>
      </c>
      <c r="D1465" s="2"/>
      <c r="E1465" s="2"/>
    </row>
    <row r="1466" spans="1:5" x14ac:dyDescent="0.3">
      <c r="A1466" s="4">
        <v>859</v>
      </c>
      <c r="B1466" s="4">
        <f t="shared" ca="1" si="76"/>
        <v>0.12</v>
      </c>
      <c r="C1466" s="4">
        <f t="shared" ca="1" si="77"/>
        <v>1470728416.50792</v>
      </c>
    </row>
    <row r="1467" spans="1:5" x14ac:dyDescent="0.3">
      <c r="A1467" s="4">
        <v>860</v>
      </c>
      <c r="B1467" s="4">
        <f t="shared" ca="1" si="76"/>
        <v>0.16000000000000003</v>
      </c>
      <c r="C1467" s="4">
        <f t="shared" ca="1" si="77"/>
        <v>1960971222.0105603</v>
      </c>
    </row>
    <row r="1468" spans="1:5" x14ac:dyDescent="0.3">
      <c r="A1468" s="4">
        <v>861</v>
      </c>
      <c r="B1468" s="4">
        <f t="shared" ca="1" si="76"/>
        <v>8.0000000000000016E-2</v>
      </c>
      <c r="C1468" s="4">
        <f t="shared" ca="1" si="77"/>
        <v>980485611.00528014</v>
      </c>
    </row>
    <row r="1469" spans="1:5" x14ac:dyDescent="0.3">
      <c r="A1469" s="4">
        <v>862</v>
      </c>
      <c r="B1469" s="4">
        <f t="shared" ca="1" si="76"/>
        <v>0.32000000000000006</v>
      </c>
      <c r="C1469" s="4">
        <f t="shared" ca="1" si="77"/>
        <v>3921942444.0211205</v>
      </c>
    </row>
    <row r="1470" spans="1:5" x14ac:dyDescent="0.3">
      <c r="A1470" s="4">
        <v>863</v>
      </c>
      <c r="B1470" s="4">
        <f t="shared" ca="1" si="76"/>
        <v>8.0000000000000016E-2</v>
      </c>
      <c r="C1470" s="4">
        <f t="shared" ca="1" si="77"/>
        <v>980485611.00528014</v>
      </c>
      <c r="D1470" s="2"/>
      <c r="E1470" s="2"/>
    </row>
    <row r="1471" spans="1:5" x14ac:dyDescent="0.3">
      <c r="A1471" s="4">
        <v>864</v>
      </c>
      <c r="B1471" s="4">
        <f t="shared" ca="1" si="76"/>
        <v>8.0000000000000016E-2</v>
      </c>
      <c r="C1471" s="4">
        <f t="shared" ca="1" si="77"/>
        <v>980485611.00528014</v>
      </c>
    </row>
    <row r="1472" spans="1:5" x14ac:dyDescent="0.3">
      <c r="A1472" s="4">
        <v>865</v>
      </c>
      <c r="B1472" s="4">
        <f t="shared" ca="1" si="76"/>
        <v>4.0000000000000008E-2</v>
      </c>
      <c r="C1472" s="4">
        <f t="shared" ca="1" si="77"/>
        <v>490242805.50264007</v>
      </c>
    </row>
    <row r="1473" spans="1:5" x14ac:dyDescent="0.3">
      <c r="A1473" s="4">
        <v>866</v>
      </c>
      <c r="B1473" s="4">
        <f t="shared" ca="1" si="76"/>
        <v>0.2</v>
      </c>
      <c r="C1473" s="4">
        <f t="shared" ca="1" si="77"/>
        <v>2451214027.5132003</v>
      </c>
      <c r="D1473" s="2"/>
      <c r="E1473" s="2"/>
    </row>
    <row r="1474" spans="1:5" x14ac:dyDescent="0.3">
      <c r="A1474" s="4">
        <v>867</v>
      </c>
      <c r="B1474" s="4">
        <f t="shared" ca="1" si="76"/>
        <v>0.32000000000000006</v>
      </c>
      <c r="C1474" s="4">
        <f t="shared" ca="1" si="77"/>
        <v>3921942444.0211205</v>
      </c>
    </row>
    <row r="1475" spans="1:5" x14ac:dyDescent="0.3">
      <c r="A1475" s="4">
        <v>868</v>
      </c>
      <c r="B1475" s="4">
        <f t="shared" ca="1" si="76"/>
        <v>0.16000000000000003</v>
      </c>
      <c r="C1475" s="4">
        <f t="shared" ca="1" si="77"/>
        <v>1960971222.0105603</v>
      </c>
      <c r="D1475" s="2"/>
      <c r="E1475" s="2"/>
    </row>
    <row r="1476" spans="1:5" x14ac:dyDescent="0.3">
      <c r="A1476" s="4">
        <v>869</v>
      </c>
      <c r="B1476" s="4">
        <f t="shared" ca="1" si="76"/>
        <v>0.36000000000000004</v>
      </c>
      <c r="C1476" s="4">
        <f t="shared" ca="1" si="77"/>
        <v>4412185249.5237608</v>
      </c>
    </row>
    <row r="1477" spans="1:5" x14ac:dyDescent="0.3">
      <c r="A1477" s="4">
        <v>870</v>
      </c>
      <c r="B1477" s="4">
        <f t="shared" ca="1" si="76"/>
        <v>4.0000000000000008E-2</v>
      </c>
      <c r="C1477" s="4">
        <f t="shared" ca="1" si="77"/>
        <v>490242805.50264007</v>
      </c>
    </row>
    <row r="1478" spans="1:5" x14ac:dyDescent="0.3">
      <c r="A1478" s="4">
        <v>871</v>
      </c>
      <c r="B1478" s="4">
        <f t="shared" ca="1" si="76"/>
        <v>4.0000000000000008E-2</v>
      </c>
      <c r="C1478" s="4">
        <f t="shared" ca="1" si="77"/>
        <v>490242805.50264007</v>
      </c>
    </row>
    <row r="1479" spans="1:5" x14ac:dyDescent="0.3">
      <c r="A1479" s="4">
        <v>872</v>
      </c>
      <c r="B1479" s="4">
        <f t="shared" ca="1" si="76"/>
        <v>4.0000000000000008E-2</v>
      </c>
      <c r="C1479" s="4">
        <f t="shared" ca="1" si="77"/>
        <v>490242805.50264007</v>
      </c>
    </row>
    <row r="1480" spans="1:5" x14ac:dyDescent="0.3">
      <c r="A1480" s="4">
        <v>873</v>
      </c>
      <c r="B1480" s="4">
        <f t="shared" ca="1" si="76"/>
        <v>0.16000000000000003</v>
      </c>
      <c r="C1480" s="4">
        <f t="shared" ca="1" si="77"/>
        <v>1960971222.0105603</v>
      </c>
      <c r="D1480" s="2"/>
      <c r="E1480" s="2"/>
    </row>
    <row r="1481" spans="1:5" x14ac:dyDescent="0.3">
      <c r="A1481" s="4">
        <v>874</v>
      </c>
      <c r="B1481" s="4">
        <f t="shared" ca="1" si="76"/>
        <v>0.16000000000000003</v>
      </c>
      <c r="C1481" s="4">
        <f t="shared" ca="1" si="77"/>
        <v>1960971222.0105603</v>
      </c>
    </row>
    <row r="1482" spans="1:5" x14ac:dyDescent="0.3">
      <c r="A1482" s="4">
        <v>875</v>
      </c>
      <c r="B1482" s="4">
        <f t="shared" ca="1" si="76"/>
        <v>0.12</v>
      </c>
      <c r="C1482" s="4">
        <f t="shared" ca="1" si="77"/>
        <v>1470728416.50792</v>
      </c>
    </row>
    <row r="1483" spans="1:5" x14ac:dyDescent="0.3">
      <c r="A1483" s="4">
        <v>876</v>
      </c>
      <c r="B1483" s="4">
        <f t="shared" ca="1" si="76"/>
        <v>0.12</v>
      </c>
      <c r="C1483" s="4">
        <f t="shared" ca="1" si="77"/>
        <v>1470728416.50792</v>
      </c>
      <c r="D1483" s="2"/>
      <c r="E1483" s="2"/>
    </row>
    <row r="1484" spans="1:5" x14ac:dyDescent="0.3">
      <c r="A1484" s="4">
        <v>877</v>
      </c>
      <c r="B1484" s="4">
        <f t="shared" ca="1" si="76"/>
        <v>0.32000000000000006</v>
      </c>
      <c r="C1484" s="4">
        <f t="shared" ca="1" si="77"/>
        <v>3921942444.0211205</v>
      </c>
    </row>
    <row r="1485" spans="1:5" x14ac:dyDescent="0.3">
      <c r="A1485" s="4">
        <v>878</v>
      </c>
      <c r="B1485" s="4">
        <f t="shared" ca="1" si="76"/>
        <v>4.0000000000000008E-2</v>
      </c>
      <c r="C1485" s="4">
        <f t="shared" ca="1" si="77"/>
        <v>490242805.50264007</v>
      </c>
      <c r="D1485" s="2"/>
      <c r="E1485" s="2"/>
    </row>
    <row r="1486" spans="1:5" x14ac:dyDescent="0.3">
      <c r="A1486" s="4">
        <v>879</v>
      </c>
      <c r="B1486" s="4">
        <f t="shared" ca="1" si="76"/>
        <v>8.0000000000000016E-2</v>
      </c>
      <c r="C1486" s="4">
        <f t="shared" ca="1" si="77"/>
        <v>980485611.00528014</v>
      </c>
    </row>
    <row r="1487" spans="1:5" x14ac:dyDescent="0.3">
      <c r="A1487" s="4">
        <v>880</v>
      </c>
      <c r="B1487" s="4">
        <f t="shared" ca="1" si="76"/>
        <v>0.16000000000000003</v>
      </c>
      <c r="C1487" s="4">
        <f t="shared" ca="1" si="77"/>
        <v>1960971222.0105603</v>
      </c>
    </row>
    <row r="1488" spans="1:5" x14ac:dyDescent="0.3">
      <c r="A1488" s="4">
        <v>881</v>
      </c>
      <c r="B1488" s="4">
        <f t="shared" ca="1" si="76"/>
        <v>0.12</v>
      </c>
      <c r="C1488" s="4">
        <f t="shared" ca="1" si="77"/>
        <v>1470728416.50792</v>
      </c>
    </row>
    <row r="1489" spans="1:5" x14ac:dyDescent="0.3">
      <c r="A1489" s="4">
        <v>882</v>
      </c>
      <c r="B1489" s="4">
        <f t="shared" ca="1" si="76"/>
        <v>0.27999999999999997</v>
      </c>
      <c r="C1489" s="4">
        <f t="shared" ca="1" si="77"/>
        <v>3431699638.5184798</v>
      </c>
    </row>
    <row r="1490" spans="1:5" x14ac:dyDescent="0.3">
      <c r="A1490" s="4">
        <v>883</v>
      </c>
      <c r="B1490" s="4">
        <f t="shared" ca="1" si="76"/>
        <v>0.36000000000000004</v>
      </c>
      <c r="C1490" s="4">
        <f t="shared" ca="1" si="77"/>
        <v>4412185249.5237608</v>
      </c>
      <c r="D1490" s="2"/>
      <c r="E1490" s="2"/>
    </row>
    <row r="1491" spans="1:5" x14ac:dyDescent="0.3">
      <c r="A1491" s="4">
        <v>884</v>
      </c>
      <c r="B1491" s="4">
        <f t="shared" ca="1" si="76"/>
        <v>4.0000000000000008E-2</v>
      </c>
      <c r="C1491" s="4">
        <f t="shared" ca="1" si="77"/>
        <v>490242805.50264007</v>
      </c>
    </row>
    <row r="1492" spans="1:5" x14ac:dyDescent="0.3">
      <c r="A1492" s="4">
        <v>885</v>
      </c>
      <c r="B1492" s="4">
        <f t="shared" ca="1" si="76"/>
        <v>0</v>
      </c>
      <c r="C1492" s="4">
        <f t="shared" ca="1" si="77"/>
        <v>0</v>
      </c>
    </row>
    <row r="1493" spans="1:5" x14ac:dyDescent="0.3">
      <c r="A1493" s="4">
        <v>886</v>
      </c>
      <c r="B1493" s="4">
        <f t="shared" ca="1" si="76"/>
        <v>8.0000000000000016E-2</v>
      </c>
      <c r="C1493" s="4">
        <f t="shared" ca="1" si="77"/>
        <v>980485611.00528014</v>
      </c>
      <c r="D1493" s="2"/>
      <c r="E1493" s="2"/>
    </row>
    <row r="1494" spans="1:5" x14ac:dyDescent="0.3">
      <c r="A1494" s="4">
        <v>887</v>
      </c>
      <c r="B1494" s="4">
        <f t="shared" ca="1" si="76"/>
        <v>0.27999999999999997</v>
      </c>
      <c r="C1494" s="4">
        <f t="shared" ca="1" si="77"/>
        <v>3431699638.5184798</v>
      </c>
    </row>
    <row r="1495" spans="1:5" x14ac:dyDescent="0.3">
      <c r="A1495" s="4">
        <v>888</v>
      </c>
      <c r="B1495" s="4">
        <f t="shared" ca="1" si="76"/>
        <v>0.16000000000000003</v>
      </c>
      <c r="C1495" s="4">
        <f t="shared" ca="1" si="77"/>
        <v>1960971222.0105603</v>
      </c>
      <c r="D1495" s="2"/>
      <c r="E1495" s="2"/>
    </row>
    <row r="1496" spans="1:5" x14ac:dyDescent="0.3">
      <c r="A1496" s="4">
        <v>889</v>
      </c>
      <c r="B1496" s="4">
        <f t="shared" ca="1" si="76"/>
        <v>0.24</v>
      </c>
      <c r="C1496" s="4">
        <f t="shared" ca="1" si="77"/>
        <v>2941456833.0158401</v>
      </c>
    </row>
    <row r="1497" spans="1:5" x14ac:dyDescent="0.3">
      <c r="A1497" s="4">
        <v>890</v>
      </c>
      <c r="B1497" s="4">
        <f t="shared" ca="1" si="76"/>
        <v>4.0000000000000008E-2</v>
      </c>
      <c r="C1497" s="4">
        <f t="shared" ca="1" si="77"/>
        <v>490242805.50264007</v>
      </c>
    </row>
    <row r="1498" spans="1:5" x14ac:dyDescent="0.3">
      <c r="A1498" s="4">
        <v>891</v>
      </c>
      <c r="B1498" s="4">
        <f t="shared" ca="1" si="76"/>
        <v>0.16000000000000003</v>
      </c>
      <c r="C1498" s="4">
        <f t="shared" ca="1" si="77"/>
        <v>1960971222.0105603</v>
      </c>
    </row>
    <row r="1499" spans="1:5" x14ac:dyDescent="0.3">
      <c r="A1499" s="4">
        <v>892</v>
      </c>
      <c r="B1499" s="4">
        <f t="shared" ca="1" si="76"/>
        <v>0.32000000000000006</v>
      </c>
      <c r="C1499" s="4">
        <f t="shared" ca="1" si="77"/>
        <v>3921942444.0211205</v>
      </c>
    </row>
    <row r="1500" spans="1:5" x14ac:dyDescent="0.3">
      <c r="A1500" s="4">
        <v>893</v>
      </c>
      <c r="B1500" s="4">
        <f t="shared" ca="1" si="76"/>
        <v>0.32000000000000006</v>
      </c>
      <c r="C1500" s="4">
        <f t="shared" ca="1" si="77"/>
        <v>3921942444.0211205</v>
      </c>
      <c r="D1500" s="2"/>
      <c r="E1500" s="2"/>
    </row>
    <row r="1501" spans="1:5" x14ac:dyDescent="0.3">
      <c r="A1501" s="4">
        <v>894</v>
      </c>
      <c r="B1501" s="4">
        <f t="shared" ca="1" si="76"/>
        <v>0.24</v>
      </c>
      <c r="C1501" s="4">
        <f t="shared" ca="1" si="77"/>
        <v>2941456833.0158401</v>
      </c>
    </row>
    <row r="1502" spans="1:5" x14ac:dyDescent="0.3">
      <c r="A1502" s="4">
        <v>895</v>
      </c>
      <c r="B1502" s="4">
        <f t="shared" ca="1" si="76"/>
        <v>0.36000000000000004</v>
      </c>
      <c r="C1502" s="4">
        <f t="shared" ca="1" si="77"/>
        <v>4412185249.5237608</v>
      </c>
    </row>
    <row r="1503" spans="1:5" x14ac:dyDescent="0.3">
      <c r="A1503" s="4">
        <v>896</v>
      </c>
      <c r="B1503" s="4">
        <f t="shared" ca="1" si="76"/>
        <v>8.0000000000000016E-2</v>
      </c>
      <c r="C1503" s="4">
        <f t="shared" ca="1" si="77"/>
        <v>980485611.00528014</v>
      </c>
      <c r="D1503" s="2"/>
      <c r="E1503" s="2"/>
    </row>
    <row r="1504" spans="1:5" x14ac:dyDescent="0.3">
      <c r="A1504" s="4">
        <v>897</v>
      </c>
      <c r="B1504" s="4">
        <f t="shared" ref="B1504:B1567" ca="1" si="78">ROUND(RAND(),1)*$E$601</f>
        <v>0.36000000000000004</v>
      </c>
      <c r="C1504" s="4">
        <f t="shared" ref="C1504:C1567" ca="1" si="79">B1504*$E$600</f>
        <v>4412185249.5237608</v>
      </c>
    </row>
    <row r="1505" spans="1:5" x14ac:dyDescent="0.3">
      <c r="A1505" s="4">
        <v>898</v>
      </c>
      <c r="B1505" s="4">
        <f t="shared" ca="1" si="78"/>
        <v>0.12</v>
      </c>
      <c r="C1505" s="4">
        <f t="shared" ca="1" si="79"/>
        <v>1470728416.50792</v>
      </c>
      <c r="D1505" s="2"/>
      <c r="E1505" s="2"/>
    </row>
    <row r="1506" spans="1:5" x14ac:dyDescent="0.3">
      <c r="A1506" s="4">
        <v>899</v>
      </c>
      <c r="B1506" s="4">
        <f t="shared" ca="1" si="78"/>
        <v>4.0000000000000008E-2</v>
      </c>
      <c r="C1506" s="4">
        <f t="shared" ca="1" si="79"/>
        <v>490242805.50264007</v>
      </c>
    </row>
    <row r="1507" spans="1:5" x14ac:dyDescent="0.3">
      <c r="A1507" s="4">
        <v>900</v>
      </c>
      <c r="B1507" s="4">
        <f t="shared" ca="1" si="78"/>
        <v>8.0000000000000016E-2</v>
      </c>
      <c r="C1507" s="4">
        <f t="shared" ca="1" si="79"/>
        <v>980485611.00528014</v>
      </c>
    </row>
    <row r="1508" spans="1:5" x14ac:dyDescent="0.3">
      <c r="A1508" s="4">
        <v>901</v>
      </c>
      <c r="B1508" s="4">
        <f t="shared" ca="1" si="78"/>
        <v>4.0000000000000008E-2</v>
      </c>
      <c r="C1508" s="4">
        <f t="shared" ca="1" si="79"/>
        <v>490242805.50264007</v>
      </c>
    </row>
    <row r="1509" spans="1:5" x14ac:dyDescent="0.3">
      <c r="A1509" s="4">
        <v>902</v>
      </c>
      <c r="B1509" s="4">
        <f t="shared" ca="1" si="78"/>
        <v>0</v>
      </c>
      <c r="C1509" s="4">
        <f t="shared" ca="1" si="79"/>
        <v>0</v>
      </c>
    </row>
    <row r="1510" spans="1:5" x14ac:dyDescent="0.3">
      <c r="A1510" s="4">
        <v>903</v>
      </c>
      <c r="B1510" s="4">
        <f t="shared" ca="1" si="78"/>
        <v>0.36000000000000004</v>
      </c>
      <c r="C1510" s="4">
        <f t="shared" ca="1" si="79"/>
        <v>4412185249.5237608</v>
      </c>
      <c r="D1510" s="2"/>
      <c r="E1510" s="2"/>
    </row>
    <row r="1511" spans="1:5" x14ac:dyDescent="0.3">
      <c r="A1511" s="4">
        <v>904</v>
      </c>
      <c r="B1511" s="4">
        <f t="shared" ca="1" si="78"/>
        <v>0.27999999999999997</v>
      </c>
      <c r="C1511" s="4">
        <f t="shared" ca="1" si="79"/>
        <v>3431699638.5184798</v>
      </c>
    </row>
    <row r="1512" spans="1:5" x14ac:dyDescent="0.3">
      <c r="A1512" s="4">
        <v>905</v>
      </c>
      <c r="B1512" s="4">
        <f t="shared" ca="1" si="78"/>
        <v>0.27999999999999997</v>
      </c>
      <c r="C1512" s="4">
        <f t="shared" ca="1" si="79"/>
        <v>3431699638.5184798</v>
      </c>
    </row>
    <row r="1513" spans="1:5" x14ac:dyDescent="0.3">
      <c r="A1513" s="4">
        <v>906</v>
      </c>
      <c r="B1513" s="4">
        <f t="shared" ca="1" si="78"/>
        <v>0.27999999999999997</v>
      </c>
      <c r="C1513" s="4">
        <f t="shared" ca="1" si="79"/>
        <v>3431699638.5184798</v>
      </c>
      <c r="D1513" s="2"/>
      <c r="E1513" s="2"/>
    </row>
    <row r="1514" spans="1:5" x14ac:dyDescent="0.3">
      <c r="A1514" s="4">
        <v>907</v>
      </c>
      <c r="B1514" s="4">
        <f t="shared" ca="1" si="78"/>
        <v>0.36000000000000004</v>
      </c>
      <c r="C1514" s="4">
        <f t="shared" ca="1" si="79"/>
        <v>4412185249.5237608</v>
      </c>
    </row>
    <row r="1515" spans="1:5" x14ac:dyDescent="0.3">
      <c r="A1515" s="4">
        <v>908</v>
      </c>
      <c r="B1515" s="4">
        <f t="shared" ca="1" si="78"/>
        <v>0.16000000000000003</v>
      </c>
      <c r="C1515" s="4">
        <f t="shared" ca="1" si="79"/>
        <v>1960971222.0105603</v>
      </c>
      <c r="D1515" s="2"/>
      <c r="E1515" s="2"/>
    </row>
    <row r="1516" spans="1:5" x14ac:dyDescent="0.3">
      <c r="A1516" s="4">
        <v>909</v>
      </c>
      <c r="B1516" s="4">
        <f t="shared" ca="1" si="78"/>
        <v>8.0000000000000016E-2</v>
      </c>
      <c r="C1516" s="4">
        <f t="shared" ca="1" si="79"/>
        <v>980485611.00528014</v>
      </c>
    </row>
    <row r="1517" spans="1:5" x14ac:dyDescent="0.3">
      <c r="A1517" s="4">
        <v>910</v>
      </c>
      <c r="B1517" s="4">
        <f t="shared" ca="1" si="78"/>
        <v>0.36000000000000004</v>
      </c>
      <c r="C1517" s="4">
        <f t="shared" ca="1" si="79"/>
        <v>4412185249.5237608</v>
      </c>
    </row>
    <row r="1518" spans="1:5" x14ac:dyDescent="0.3">
      <c r="A1518" s="4">
        <v>911</v>
      </c>
      <c r="B1518" s="4">
        <f t="shared" ca="1" si="78"/>
        <v>0.32000000000000006</v>
      </c>
      <c r="C1518" s="4">
        <f t="shared" ca="1" si="79"/>
        <v>3921942444.0211205</v>
      </c>
    </row>
    <row r="1519" spans="1:5" x14ac:dyDescent="0.3">
      <c r="A1519" s="4">
        <v>912</v>
      </c>
      <c r="B1519" s="4">
        <f t="shared" ca="1" si="78"/>
        <v>0</v>
      </c>
      <c r="C1519" s="4">
        <f t="shared" ca="1" si="79"/>
        <v>0</v>
      </c>
    </row>
    <row r="1520" spans="1:5" x14ac:dyDescent="0.3">
      <c r="A1520" s="4">
        <v>913</v>
      </c>
      <c r="B1520" s="4">
        <f t="shared" ca="1" si="78"/>
        <v>0.2</v>
      </c>
      <c r="C1520" s="4">
        <f t="shared" ca="1" si="79"/>
        <v>2451214027.5132003</v>
      </c>
      <c r="D1520" s="2"/>
      <c r="E1520" s="2"/>
    </row>
    <row r="1521" spans="1:5" x14ac:dyDescent="0.3">
      <c r="A1521" s="4">
        <v>914</v>
      </c>
      <c r="B1521" s="4">
        <f t="shared" ca="1" si="78"/>
        <v>0.2</v>
      </c>
      <c r="C1521" s="4">
        <f t="shared" ca="1" si="79"/>
        <v>2451214027.5132003</v>
      </c>
    </row>
    <row r="1522" spans="1:5" x14ac:dyDescent="0.3">
      <c r="A1522" s="4">
        <v>915</v>
      </c>
      <c r="B1522" s="4">
        <f t="shared" ca="1" si="78"/>
        <v>0.2</v>
      </c>
      <c r="C1522" s="4">
        <f t="shared" ca="1" si="79"/>
        <v>2451214027.5132003</v>
      </c>
    </row>
    <row r="1523" spans="1:5" x14ac:dyDescent="0.3">
      <c r="A1523" s="4">
        <v>916</v>
      </c>
      <c r="B1523" s="4">
        <f t="shared" ca="1" si="78"/>
        <v>0.2</v>
      </c>
      <c r="C1523" s="4">
        <f t="shared" ca="1" si="79"/>
        <v>2451214027.5132003</v>
      </c>
      <c r="D1523" s="2"/>
      <c r="E1523" s="2"/>
    </row>
    <row r="1524" spans="1:5" x14ac:dyDescent="0.3">
      <c r="A1524" s="4">
        <v>917</v>
      </c>
      <c r="B1524" s="4">
        <f t="shared" ca="1" si="78"/>
        <v>0.16000000000000003</v>
      </c>
      <c r="C1524" s="4">
        <f t="shared" ca="1" si="79"/>
        <v>1960971222.0105603</v>
      </c>
    </row>
    <row r="1525" spans="1:5" x14ac:dyDescent="0.3">
      <c r="A1525" s="4">
        <v>918</v>
      </c>
      <c r="B1525" s="4">
        <f t="shared" ca="1" si="78"/>
        <v>0.16000000000000003</v>
      </c>
      <c r="C1525" s="4">
        <f t="shared" ca="1" si="79"/>
        <v>1960971222.0105603</v>
      </c>
      <c r="D1525" s="2"/>
      <c r="E1525" s="2"/>
    </row>
    <row r="1526" spans="1:5" x14ac:dyDescent="0.3">
      <c r="A1526" s="4">
        <v>919</v>
      </c>
      <c r="B1526" s="4">
        <f t="shared" ca="1" si="78"/>
        <v>0.27999999999999997</v>
      </c>
      <c r="C1526" s="4">
        <f t="shared" ca="1" si="79"/>
        <v>3431699638.5184798</v>
      </c>
    </row>
    <row r="1527" spans="1:5" x14ac:dyDescent="0.3">
      <c r="A1527" s="4">
        <v>920</v>
      </c>
      <c r="B1527" s="4">
        <f t="shared" ca="1" si="78"/>
        <v>0.36000000000000004</v>
      </c>
      <c r="C1527" s="4">
        <f t="shared" ca="1" si="79"/>
        <v>4412185249.5237608</v>
      </c>
    </row>
    <row r="1528" spans="1:5" x14ac:dyDescent="0.3">
      <c r="A1528" s="4">
        <v>921</v>
      </c>
      <c r="B1528" s="4">
        <f t="shared" ca="1" si="78"/>
        <v>0.36000000000000004</v>
      </c>
      <c r="C1528" s="4">
        <f t="shared" ca="1" si="79"/>
        <v>4412185249.5237608</v>
      </c>
    </row>
    <row r="1529" spans="1:5" x14ac:dyDescent="0.3">
      <c r="A1529" s="4">
        <v>922</v>
      </c>
      <c r="B1529" s="4">
        <f t="shared" ca="1" si="78"/>
        <v>4.0000000000000008E-2</v>
      </c>
      <c r="C1529" s="4">
        <f t="shared" ca="1" si="79"/>
        <v>490242805.50264007</v>
      </c>
    </row>
    <row r="1530" spans="1:5" x14ac:dyDescent="0.3">
      <c r="A1530" s="4">
        <v>923</v>
      </c>
      <c r="B1530" s="4">
        <f t="shared" ca="1" si="78"/>
        <v>0.36000000000000004</v>
      </c>
      <c r="C1530" s="4">
        <f t="shared" ca="1" si="79"/>
        <v>4412185249.5237608</v>
      </c>
      <c r="D1530" s="2"/>
      <c r="E1530" s="2"/>
    </row>
    <row r="1531" spans="1:5" x14ac:dyDescent="0.3">
      <c r="A1531" s="4">
        <v>924</v>
      </c>
      <c r="B1531" s="4">
        <f t="shared" ca="1" si="78"/>
        <v>0.12</v>
      </c>
      <c r="C1531" s="4">
        <f t="shared" ca="1" si="79"/>
        <v>1470728416.50792</v>
      </c>
    </row>
    <row r="1532" spans="1:5" x14ac:dyDescent="0.3">
      <c r="A1532" s="4">
        <v>925</v>
      </c>
      <c r="B1532" s="4">
        <f t="shared" ca="1" si="78"/>
        <v>0.4</v>
      </c>
      <c r="C1532" s="4">
        <f t="shared" ca="1" si="79"/>
        <v>4902428055.0264006</v>
      </c>
    </row>
    <row r="1533" spans="1:5" x14ac:dyDescent="0.3">
      <c r="A1533" s="4">
        <v>926</v>
      </c>
      <c r="B1533" s="4">
        <f t="shared" ca="1" si="78"/>
        <v>0.2</v>
      </c>
      <c r="C1533" s="4">
        <f t="shared" ca="1" si="79"/>
        <v>2451214027.5132003</v>
      </c>
      <c r="D1533" s="2"/>
      <c r="E1533" s="2"/>
    </row>
    <row r="1534" spans="1:5" x14ac:dyDescent="0.3">
      <c r="A1534" s="4">
        <v>927</v>
      </c>
      <c r="B1534" s="4">
        <f t="shared" ca="1" si="78"/>
        <v>0.2</v>
      </c>
      <c r="C1534" s="4">
        <f t="shared" ca="1" si="79"/>
        <v>2451214027.5132003</v>
      </c>
    </row>
    <row r="1535" spans="1:5" x14ac:dyDescent="0.3">
      <c r="A1535" s="4">
        <v>928</v>
      </c>
      <c r="B1535" s="4">
        <f t="shared" ca="1" si="78"/>
        <v>0.27999999999999997</v>
      </c>
      <c r="C1535" s="4">
        <f t="shared" ca="1" si="79"/>
        <v>3431699638.5184798</v>
      </c>
      <c r="D1535" s="2"/>
      <c r="E1535" s="2"/>
    </row>
    <row r="1536" spans="1:5" x14ac:dyDescent="0.3">
      <c r="A1536" s="4">
        <v>929</v>
      </c>
      <c r="B1536" s="4">
        <f t="shared" ca="1" si="78"/>
        <v>0.36000000000000004</v>
      </c>
      <c r="C1536" s="4">
        <f t="shared" ca="1" si="79"/>
        <v>4412185249.5237608</v>
      </c>
    </row>
    <row r="1537" spans="1:5" x14ac:dyDescent="0.3">
      <c r="A1537" s="4">
        <v>930</v>
      </c>
      <c r="B1537" s="4">
        <f t="shared" ca="1" si="78"/>
        <v>0.36000000000000004</v>
      </c>
      <c r="C1537" s="4">
        <f t="shared" ca="1" si="79"/>
        <v>4412185249.5237608</v>
      </c>
    </row>
    <row r="1538" spans="1:5" x14ac:dyDescent="0.3">
      <c r="A1538" s="4">
        <v>931</v>
      </c>
      <c r="B1538" s="4">
        <f t="shared" ca="1" si="78"/>
        <v>0.2</v>
      </c>
      <c r="C1538" s="4">
        <f t="shared" ca="1" si="79"/>
        <v>2451214027.5132003</v>
      </c>
    </row>
    <row r="1539" spans="1:5" x14ac:dyDescent="0.3">
      <c r="A1539" s="4">
        <v>932</v>
      </c>
      <c r="B1539" s="4">
        <f t="shared" ca="1" si="78"/>
        <v>0.16000000000000003</v>
      </c>
      <c r="C1539" s="4">
        <f t="shared" ca="1" si="79"/>
        <v>1960971222.0105603</v>
      </c>
    </row>
    <row r="1540" spans="1:5" x14ac:dyDescent="0.3">
      <c r="A1540" s="4">
        <v>933</v>
      </c>
      <c r="B1540" s="4">
        <f t="shared" ca="1" si="78"/>
        <v>0.24</v>
      </c>
      <c r="C1540" s="4">
        <f t="shared" ca="1" si="79"/>
        <v>2941456833.0158401</v>
      </c>
      <c r="D1540" s="2"/>
      <c r="E1540" s="2"/>
    </row>
    <row r="1541" spans="1:5" x14ac:dyDescent="0.3">
      <c r="A1541" s="4">
        <v>934</v>
      </c>
      <c r="B1541" s="4">
        <f t="shared" ca="1" si="78"/>
        <v>8.0000000000000016E-2</v>
      </c>
      <c r="C1541" s="4">
        <f t="shared" ca="1" si="79"/>
        <v>980485611.00528014</v>
      </c>
    </row>
    <row r="1542" spans="1:5" x14ac:dyDescent="0.3">
      <c r="A1542" s="4">
        <v>935</v>
      </c>
      <c r="B1542" s="4">
        <f t="shared" ca="1" si="78"/>
        <v>0.24</v>
      </c>
      <c r="C1542" s="4">
        <f t="shared" ca="1" si="79"/>
        <v>2941456833.0158401</v>
      </c>
    </row>
    <row r="1543" spans="1:5" x14ac:dyDescent="0.3">
      <c r="A1543" s="4">
        <v>936</v>
      </c>
      <c r="B1543" s="4">
        <f t="shared" ca="1" si="78"/>
        <v>0.2</v>
      </c>
      <c r="C1543" s="4">
        <f t="shared" ca="1" si="79"/>
        <v>2451214027.5132003</v>
      </c>
      <c r="D1543" s="2"/>
      <c r="E1543" s="2"/>
    </row>
    <row r="1544" spans="1:5" x14ac:dyDescent="0.3">
      <c r="A1544" s="4">
        <v>937</v>
      </c>
      <c r="B1544" s="4">
        <f t="shared" ca="1" si="78"/>
        <v>0.16000000000000003</v>
      </c>
      <c r="C1544" s="4">
        <f t="shared" ca="1" si="79"/>
        <v>1960971222.0105603</v>
      </c>
    </row>
    <row r="1545" spans="1:5" x14ac:dyDescent="0.3">
      <c r="A1545" s="4">
        <v>938</v>
      </c>
      <c r="B1545" s="4">
        <f t="shared" ca="1" si="78"/>
        <v>0.27999999999999997</v>
      </c>
      <c r="C1545" s="4">
        <f t="shared" ca="1" si="79"/>
        <v>3431699638.5184798</v>
      </c>
      <c r="D1545" s="2"/>
      <c r="E1545" s="2"/>
    </row>
    <row r="1546" spans="1:5" x14ac:dyDescent="0.3">
      <c r="A1546" s="4">
        <v>939</v>
      </c>
      <c r="B1546" s="4">
        <f t="shared" ca="1" si="78"/>
        <v>0.16000000000000003</v>
      </c>
      <c r="C1546" s="4">
        <f t="shared" ca="1" si="79"/>
        <v>1960971222.0105603</v>
      </c>
    </row>
    <row r="1547" spans="1:5" x14ac:dyDescent="0.3">
      <c r="A1547" s="4">
        <v>940</v>
      </c>
      <c r="B1547" s="4">
        <f t="shared" ca="1" si="78"/>
        <v>0.24</v>
      </c>
      <c r="C1547" s="4">
        <f t="shared" ca="1" si="79"/>
        <v>2941456833.0158401</v>
      </c>
    </row>
    <row r="1548" spans="1:5" x14ac:dyDescent="0.3">
      <c r="A1548" s="4">
        <v>941</v>
      </c>
      <c r="B1548" s="4">
        <f t="shared" ca="1" si="78"/>
        <v>0</v>
      </c>
      <c r="C1548" s="4">
        <f t="shared" ca="1" si="79"/>
        <v>0</v>
      </c>
    </row>
    <row r="1549" spans="1:5" x14ac:dyDescent="0.3">
      <c r="A1549" s="4">
        <v>942</v>
      </c>
      <c r="B1549" s="4">
        <f t="shared" ca="1" si="78"/>
        <v>0.4</v>
      </c>
      <c r="C1549" s="4">
        <f t="shared" ca="1" si="79"/>
        <v>4902428055.0264006</v>
      </c>
    </row>
    <row r="1550" spans="1:5" x14ac:dyDescent="0.3">
      <c r="A1550" s="4">
        <v>943</v>
      </c>
      <c r="B1550" s="4">
        <f t="shared" ca="1" si="78"/>
        <v>0.2</v>
      </c>
      <c r="C1550" s="4">
        <f t="shared" ca="1" si="79"/>
        <v>2451214027.5132003</v>
      </c>
      <c r="D1550" s="2"/>
      <c r="E1550" s="2"/>
    </row>
    <row r="1551" spans="1:5" x14ac:dyDescent="0.3">
      <c r="A1551" s="4">
        <v>944</v>
      </c>
      <c r="B1551" s="4">
        <f t="shared" ca="1" si="78"/>
        <v>0.32000000000000006</v>
      </c>
      <c r="C1551" s="4">
        <f t="shared" ca="1" si="79"/>
        <v>3921942444.0211205</v>
      </c>
    </row>
    <row r="1552" spans="1:5" x14ac:dyDescent="0.3">
      <c r="A1552" s="4">
        <v>945</v>
      </c>
      <c r="B1552" s="4">
        <f t="shared" ca="1" si="78"/>
        <v>0.4</v>
      </c>
      <c r="C1552" s="4">
        <f t="shared" ca="1" si="79"/>
        <v>4902428055.0264006</v>
      </c>
    </row>
    <row r="1553" spans="1:5" x14ac:dyDescent="0.3">
      <c r="A1553" s="4">
        <v>946</v>
      </c>
      <c r="B1553" s="4">
        <f t="shared" ca="1" si="78"/>
        <v>0.32000000000000006</v>
      </c>
      <c r="C1553" s="4">
        <f t="shared" ca="1" si="79"/>
        <v>3921942444.0211205</v>
      </c>
      <c r="D1553" s="2"/>
      <c r="E1553" s="2"/>
    </row>
    <row r="1554" spans="1:5" x14ac:dyDescent="0.3">
      <c r="A1554" s="4">
        <v>947</v>
      </c>
      <c r="B1554" s="4">
        <f t="shared" ca="1" si="78"/>
        <v>0.27999999999999997</v>
      </c>
      <c r="C1554" s="4">
        <f t="shared" ca="1" si="79"/>
        <v>3431699638.5184798</v>
      </c>
    </row>
    <row r="1555" spans="1:5" x14ac:dyDescent="0.3">
      <c r="A1555" s="4">
        <v>948</v>
      </c>
      <c r="B1555" s="4">
        <f t="shared" ca="1" si="78"/>
        <v>0.27999999999999997</v>
      </c>
      <c r="C1555" s="4">
        <f t="shared" ca="1" si="79"/>
        <v>3431699638.5184798</v>
      </c>
      <c r="D1555" s="2"/>
      <c r="E1555" s="2"/>
    </row>
    <row r="1556" spans="1:5" x14ac:dyDescent="0.3">
      <c r="A1556" s="4">
        <v>949</v>
      </c>
      <c r="B1556" s="4">
        <f t="shared" ca="1" si="78"/>
        <v>0.36000000000000004</v>
      </c>
      <c r="C1556" s="4">
        <f t="shared" ca="1" si="79"/>
        <v>4412185249.5237608</v>
      </c>
    </row>
    <row r="1557" spans="1:5" x14ac:dyDescent="0.3">
      <c r="A1557" s="4">
        <v>950</v>
      </c>
      <c r="B1557" s="4">
        <f t="shared" ca="1" si="78"/>
        <v>8.0000000000000016E-2</v>
      </c>
      <c r="C1557" s="4">
        <f t="shared" ca="1" si="79"/>
        <v>980485611.00528014</v>
      </c>
    </row>
    <row r="1558" spans="1:5" x14ac:dyDescent="0.3">
      <c r="A1558" s="4">
        <v>951</v>
      </c>
      <c r="B1558" s="4">
        <f t="shared" ca="1" si="78"/>
        <v>0</v>
      </c>
      <c r="C1558" s="4">
        <f t="shared" ca="1" si="79"/>
        <v>0</v>
      </c>
    </row>
    <row r="1559" spans="1:5" x14ac:dyDescent="0.3">
      <c r="A1559" s="4">
        <v>952</v>
      </c>
      <c r="B1559" s="4">
        <f t="shared" ca="1" si="78"/>
        <v>0.24</v>
      </c>
      <c r="C1559" s="4">
        <f t="shared" ca="1" si="79"/>
        <v>2941456833.0158401</v>
      </c>
    </row>
    <row r="1560" spans="1:5" x14ac:dyDescent="0.3">
      <c r="A1560" s="4">
        <v>953</v>
      </c>
      <c r="B1560" s="4">
        <f t="shared" ca="1" si="78"/>
        <v>0</v>
      </c>
      <c r="C1560" s="4">
        <f t="shared" ca="1" si="79"/>
        <v>0</v>
      </c>
      <c r="D1560" s="2"/>
      <c r="E1560" s="2"/>
    </row>
    <row r="1561" spans="1:5" x14ac:dyDescent="0.3">
      <c r="A1561" s="4">
        <v>954</v>
      </c>
      <c r="B1561" s="4">
        <f t="shared" ca="1" si="78"/>
        <v>0.32000000000000006</v>
      </c>
      <c r="C1561" s="4">
        <f t="shared" ca="1" si="79"/>
        <v>3921942444.0211205</v>
      </c>
    </row>
    <row r="1562" spans="1:5" x14ac:dyDescent="0.3">
      <c r="A1562" s="4">
        <v>955</v>
      </c>
      <c r="B1562" s="4">
        <f t="shared" ca="1" si="78"/>
        <v>0.24</v>
      </c>
      <c r="C1562" s="4">
        <f t="shared" ca="1" si="79"/>
        <v>2941456833.0158401</v>
      </c>
    </row>
    <row r="1563" spans="1:5" x14ac:dyDescent="0.3">
      <c r="A1563" s="4">
        <v>956</v>
      </c>
      <c r="B1563" s="4">
        <f t="shared" ca="1" si="78"/>
        <v>0.27999999999999997</v>
      </c>
      <c r="C1563" s="4">
        <f t="shared" ca="1" si="79"/>
        <v>3431699638.5184798</v>
      </c>
      <c r="D1563" s="2"/>
      <c r="E1563" s="2"/>
    </row>
    <row r="1564" spans="1:5" x14ac:dyDescent="0.3">
      <c r="A1564" s="4">
        <v>957</v>
      </c>
      <c r="B1564" s="4">
        <f t="shared" ca="1" si="78"/>
        <v>4.0000000000000008E-2</v>
      </c>
      <c r="C1564" s="4">
        <f t="shared" ca="1" si="79"/>
        <v>490242805.50264007</v>
      </c>
    </row>
    <row r="1565" spans="1:5" x14ac:dyDescent="0.3">
      <c r="A1565" s="4">
        <v>958</v>
      </c>
      <c r="B1565" s="4">
        <f t="shared" ca="1" si="78"/>
        <v>8.0000000000000016E-2</v>
      </c>
      <c r="C1565" s="4">
        <f t="shared" ca="1" si="79"/>
        <v>980485611.00528014</v>
      </c>
      <c r="D1565" s="2"/>
      <c r="E1565" s="2"/>
    </row>
    <row r="1566" spans="1:5" x14ac:dyDescent="0.3">
      <c r="A1566" s="4">
        <v>959</v>
      </c>
      <c r="B1566" s="4">
        <f t="shared" ca="1" si="78"/>
        <v>0.2</v>
      </c>
      <c r="C1566" s="4">
        <f t="shared" ca="1" si="79"/>
        <v>2451214027.5132003</v>
      </c>
    </row>
    <row r="1567" spans="1:5" x14ac:dyDescent="0.3">
      <c r="A1567" s="4">
        <v>960</v>
      </c>
      <c r="B1567" s="4">
        <f t="shared" ca="1" si="78"/>
        <v>0.24</v>
      </c>
      <c r="C1567" s="4">
        <f t="shared" ca="1" si="79"/>
        <v>2941456833.0158401</v>
      </c>
    </row>
    <row r="1568" spans="1:5" x14ac:dyDescent="0.3">
      <c r="A1568" s="4">
        <v>961</v>
      </c>
      <c r="B1568" s="4">
        <f t="shared" ref="B1568:B1607" ca="1" si="80">ROUND(RAND(),1)*$E$601</f>
        <v>0.36000000000000004</v>
      </c>
      <c r="C1568" s="4">
        <f t="shared" ref="C1568:C1607" ca="1" si="81">B1568*$E$600</f>
        <v>4412185249.5237608</v>
      </c>
    </row>
    <row r="1569" spans="1:5" x14ac:dyDescent="0.3">
      <c r="A1569" s="4">
        <v>962</v>
      </c>
      <c r="B1569" s="4">
        <f t="shared" ca="1" si="80"/>
        <v>0.36000000000000004</v>
      </c>
      <c r="C1569" s="4">
        <f t="shared" ca="1" si="81"/>
        <v>4412185249.5237608</v>
      </c>
    </row>
    <row r="1570" spans="1:5" x14ac:dyDescent="0.3">
      <c r="A1570" s="4">
        <v>963</v>
      </c>
      <c r="B1570" s="4">
        <f t="shared" ca="1" si="80"/>
        <v>8.0000000000000016E-2</v>
      </c>
      <c r="C1570" s="4">
        <f t="shared" ca="1" si="81"/>
        <v>980485611.00528014</v>
      </c>
      <c r="D1570" s="2"/>
      <c r="E1570" s="2"/>
    </row>
    <row r="1571" spans="1:5" x14ac:dyDescent="0.3">
      <c r="A1571" s="4">
        <v>964</v>
      </c>
      <c r="B1571" s="4">
        <f t="shared" ca="1" si="80"/>
        <v>0.12</v>
      </c>
      <c r="C1571" s="4">
        <f t="shared" ca="1" si="81"/>
        <v>1470728416.50792</v>
      </c>
    </row>
    <row r="1572" spans="1:5" x14ac:dyDescent="0.3">
      <c r="A1572" s="4">
        <v>965</v>
      </c>
      <c r="B1572" s="4">
        <f t="shared" ca="1" si="80"/>
        <v>0.24</v>
      </c>
      <c r="C1572" s="4">
        <f t="shared" ca="1" si="81"/>
        <v>2941456833.0158401</v>
      </c>
    </row>
    <row r="1573" spans="1:5" x14ac:dyDescent="0.3">
      <c r="A1573" s="4">
        <v>966</v>
      </c>
      <c r="B1573" s="4">
        <f t="shared" ca="1" si="80"/>
        <v>0.12</v>
      </c>
      <c r="C1573" s="4">
        <f t="shared" ca="1" si="81"/>
        <v>1470728416.50792</v>
      </c>
      <c r="D1573" s="2"/>
      <c r="E1573" s="2"/>
    </row>
    <row r="1574" spans="1:5" x14ac:dyDescent="0.3">
      <c r="A1574" s="4">
        <v>967</v>
      </c>
      <c r="B1574" s="4">
        <f t="shared" ca="1" si="80"/>
        <v>4.0000000000000008E-2</v>
      </c>
      <c r="C1574" s="4">
        <f t="shared" ca="1" si="81"/>
        <v>490242805.50264007</v>
      </c>
    </row>
    <row r="1575" spans="1:5" x14ac:dyDescent="0.3">
      <c r="A1575" s="4">
        <v>968</v>
      </c>
      <c r="B1575" s="4">
        <f t="shared" ca="1" si="80"/>
        <v>0.24</v>
      </c>
      <c r="C1575" s="4">
        <f t="shared" ca="1" si="81"/>
        <v>2941456833.0158401</v>
      </c>
      <c r="D1575" s="2"/>
      <c r="E1575" s="2"/>
    </row>
    <row r="1576" spans="1:5" x14ac:dyDescent="0.3">
      <c r="A1576" s="4">
        <v>969</v>
      </c>
      <c r="B1576" s="4">
        <f t="shared" ca="1" si="80"/>
        <v>0.24</v>
      </c>
      <c r="C1576" s="4">
        <f t="shared" ca="1" si="81"/>
        <v>2941456833.0158401</v>
      </c>
    </row>
    <row r="1577" spans="1:5" x14ac:dyDescent="0.3">
      <c r="A1577" s="4">
        <v>970</v>
      </c>
      <c r="B1577" s="4">
        <f t="shared" ca="1" si="80"/>
        <v>0.27999999999999997</v>
      </c>
      <c r="C1577" s="4">
        <f t="shared" ca="1" si="81"/>
        <v>3431699638.5184798</v>
      </c>
    </row>
    <row r="1578" spans="1:5" x14ac:dyDescent="0.3">
      <c r="A1578" s="4">
        <v>971</v>
      </c>
      <c r="B1578" s="4">
        <f t="shared" ca="1" si="80"/>
        <v>0.36000000000000004</v>
      </c>
      <c r="C1578" s="4">
        <f t="shared" ca="1" si="81"/>
        <v>4412185249.5237608</v>
      </c>
    </row>
    <row r="1579" spans="1:5" x14ac:dyDescent="0.3">
      <c r="A1579" s="4">
        <v>972</v>
      </c>
      <c r="B1579" s="4">
        <f t="shared" ca="1" si="80"/>
        <v>0.12</v>
      </c>
      <c r="C1579" s="4">
        <f t="shared" ca="1" si="81"/>
        <v>1470728416.50792</v>
      </c>
    </row>
    <row r="1580" spans="1:5" x14ac:dyDescent="0.3">
      <c r="A1580" s="4">
        <v>973</v>
      </c>
      <c r="B1580" s="4">
        <f t="shared" ca="1" si="80"/>
        <v>0.12</v>
      </c>
      <c r="C1580" s="4">
        <f t="shared" ca="1" si="81"/>
        <v>1470728416.50792</v>
      </c>
      <c r="D1580" s="2"/>
      <c r="E1580" s="2"/>
    </row>
    <row r="1581" spans="1:5" x14ac:dyDescent="0.3">
      <c r="A1581" s="4">
        <v>974</v>
      </c>
      <c r="B1581" s="4">
        <f t="shared" ca="1" si="80"/>
        <v>0.12</v>
      </c>
      <c r="C1581" s="4">
        <f t="shared" ca="1" si="81"/>
        <v>1470728416.50792</v>
      </c>
    </row>
    <row r="1582" spans="1:5" x14ac:dyDescent="0.3">
      <c r="A1582" s="4">
        <v>975</v>
      </c>
      <c r="B1582" s="4">
        <f t="shared" ca="1" si="80"/>
        <v>0.12</v>
      </c>
      <c r="C1582" s="4">
        <f t="shared" ca="1" si="81"/>
        <v>1470728416.50792</v>
      </c>
    </row>
    <row r="1583" spans="1:5" x14ac:dyDescent="0.3">
      <c r="A1583" s="4">
        <v>976</v>
      </c>
      <c r="B1583" s="4">
        <f t="shared" ca="1" si="80"/>
        <v>0.24</v>
      </c>
      <c r="C1583" s="4">
        <f t="shared" ca="1" si="81"/>
        <v>2941456833.0158401</v>
      </c>
      <c r="D1583" s="2"/>
      <c r="E1583" s="2"/>
    </row>
    <row r="1584" spans="1:5" x14ac:dyDescent="0.3">
      <c r="A1584" s="4">
        <v>977</v>
      </c>
      <c r="B1584" s="4">
        <f t="shared" ca="1" si="80"/>
        <v>8.0000000000000016E-2</v>
      </c>
      <c r="C1584" s="4">
        <f t="shared" ca="1" si="81"/>
        <v>980485611.00528014</v>
      </c>
    </row>
    <row r="1585" spans="1:5" x14ac:dyDescent="0.3">
      <c r="A1585" s="4">
        <v>978</v>
      </c>
      <c r="B1585" s="4">
        <f t="shared" ca="1" si="80"/>
        <v>0.2</v>
      </c>
      <c r="C1585" s="4">
        <f t="shared" ca="1" si="81"/>
        <v>2451214027.5132003</v>
      </c>
      <c r="D1585" s="2"/>
      <c r="E1585" s="2"/>
    </row>
    <row r="1586" spans="1:5" x14ac:dyDescent="0.3">
      <c r="A1586" s="4">
        <v>979</v>
      </c>
      <c r="B1586" s="4">
        <f t="shared" ca="1" si="80"/>
        <v>0</v>
      </c>
      <c r="C1586" s="4">
        <f t="shared" ca="1" si="81"/>
        <v>0</v>
      </c>
    </row>
    <row r="1587" spans="1:5" x14ac:dyDescent="0.3">
      <c r="A1587" s="4">
        <v>980</v>
      </c>
      <c r="B1587" s="4">
        <f t="shared" ca="1" si="80"/>
        <v>8.0000000000000016E-2</v>
      </c>
      <c r="C1587" s="4">
        <f t="shared" ca="1" si="81"/>
        <v>980485611.00528014</v>
      </c>
    </row>
    <row r="1588" spans="1:5" x14ac:dyDescent="0.3">
      <c r="A1588" s="4">
        <v>981</v>
      </c>
      <c r="B1588" s="4">
        <f t="shared" ca="1" si="80"/>
        <v>4.0000000000000008E-2</v>
      </c>
      <c r="C1588" s="4">
        <f t="shared" ca="1" si="81"/>
        <v>490242805.50264007</v>
      </c>
    </row>
    <row r="1589" spans="1:5" x14ac:dyDescent="0.3">
      <c r="A1589" s="4">
        <v>982</v>
      </c>
      <c r="B1589" s="4">
        <f t="shared" ca="1" si="80"/>
        <v>0.12</v>
      </c>
      <c r="C1589" s="4">
        <f t="shared" ca="1" si="81"/>
        <v>1470728416.50792</v>
      </c>
    </row>
    <row r="1590" spans="1:5" x14ac:dyDescent="0.3">
      <c r="A1590" s="4">
        <v>983</v>
      </c>
      <c r="B1590" s="4">
        <f t="shared" ca="1" si="80"/>
        <v>0</v>
      </c>
      <c r="C1590" s="4">
        <f t="shared" ca="1" si="81"/>
        <v>0</v>
      </c>
      <c r="D1590" s="2"/>
      <c r="E1590" s="2"/>
    </row>
    <row r="1591" spans="1:5" x14ac:dyDescent="0.3">
      <c r="A1591" s="4">
        <v>984</v>
      </c>
      <c r="B1591" s="4">
        <f t="shared" ca="1" si="80"/>
        <v>0.16000000000000003</v>
      </c>
      <c r="C1591" s="4">
        <f t="shared" ca="1" si="81"/>
        <v>1960971222.0105603</v>
      </c>
    </row>
    <row r="1592" spans="1:5" x14ac:dyDescent="0.3">
      <c r="A1592" s="4">
        <v>985</v>
      </c>
      <c r="B1592" s="4">
        <f t="shared" ca="1" si="80"/>
        <v>0.32000000000000006</v>
      </c>
      <c r="C1592" s="4">
        <f t="shared" ca="1" si="81"/>
        <v>3921942444.0211205</v>
      </c>
    </row>
    <row r="1593" spans="1:5" x14ac:dyDescent="0.3">
      <c r="A1593" s="4">
        <v>986</v>
      </c>
      <c r="B1593" s="4">
        <f t="shared" ca="1" si="80"/>
        <v>4.0000000000000008E-2</v>
      </c>
      <c r="C1593" s="4">
        <f t="shared" ca="1" si="81"/>
        <v>490242805.50264007</v>
      </c>
      <c r="D1593" s="2"/>
      <c r="E1593" s="2"/>
    </row>
    <row r="1594" spans="1:5" x14ac:dyDescent="0.3">
      <c r="A1594" s="4">
        <v>987</v>
      </c>
      <c r="B1594" s="4">
        <f t="shared" ca="1" si="80"/>
        <v>4.0000000000000008E-2</v>
      </c>
      <c r="C1594" s="4">
        <f t="shared" ca="1" si="81"/>
        <v>490242805.50264007</v>
      </c>
    </row>
    <row r="1595" spans="1:5" x14ac:dyDescent="0.3">
      <c r="A1595" s="4">
        <v>988</v>
      </c>
      <c r="B1595" s="4">
        <f t="shared" ca="1" si="80"/>
        <v>0.16000000000000003</v>
      </c>
      <c r="C1595" s="4">
        <f t="shared" ca="1" si="81"/>
        <v>1960971222.0105603</v>
      </c>
      <c r="D1595" s="2"/>
      <c r="E1595" s="2"/>
    </row>
    <row r="1596" spans="1:5" x14ac:dyDescent="0.3">
      <c r="A1596" s="4">
        <v>989</v>
      </c>
      <c r="B1596" s="4">
        <f t="shared" ca="1" si="80"/>
        <v>0.16000000000000003</v>
      </c>
      <c r="C1596" s="4">
        <f t="shared" ca="1" si="81"/>
        <v>1960971222.0105603</v>
      </c>
    </row>
    <row r="1597" spans="1:5" x14ac:dyDescent="0.3">
      <c r="A1597" s="4">
        <v>990</v>
      </c>
      <c r="B1597" s="4">
        <f t="shared" ca="1" si="80"/>
        <v>8.0000000000000016E-2</v>
      </c>
      <c r="C1597" s="4">
        <f t="shared" ca="1" si="81"/>
        <v>980485611.00528014</v>
      </c>
    </row>
    <row r="1598" spans="1:5" x14ac:dyDescent="0.3">
      <c r="A1598" s="4">
        <v>991</v>
      </c>
      <c r="B1598" s="4">
        <f t="shared" ca="1" si="80"/>
        <v>0.32000000000000006</v>
      </c>
      <c r="C1598" s="4">
        <f t="shared" ca="1" si="81"/>
        <v>3921942444.0211205</v>
      </c>
    </row>
    <row r="1599" spans="1:5" x14ac:dyDescent="0.3">
      <c r="A1599" s="4">
        <v>992</v>
      </c>
      <c r="B1599" s="4">
        <f t="shared" ca="1" si="80"/>
        <v>0.24</v>
      </c>
      <c r="C1599" s="4">
        <f t="shared" ca="1" si="81"/>
        <v>2941456833.0158401</v>
      </c>
    </row>
    <row r="1600" spans="1:5" x14ac:dyDescent="0.3">
      <c r="A1600" s="4">
        <v>993</v>
      </c>
      <c r="B1600" s="4">
        <f t="shared" ca="1" si="80"/>
        <v>0.27999999999999997</v>
      </c>
      <c r="C1600" s="4">
        <f t="shared" ca="1" si="81"/>
        <v>3431699638.5184798</v>
      </c>
      <c r="D1600" s="2"/>
      <c r="E1600" s="2"/>
    </row>
    <row r="1601" spans="1:5" x14ac:dyDescent="0.3">
      <c r="A1601" s="4">
        <v>994</v>
      </c>
      <c r="B1601" s="4">
        <f t="shared" ca="1" si="80"/>
        <v>0.16000000000000003</v>
      </c>
      <c r="C1601" s="4">
        <f t="shared" ca="1" si="81"/>
        <v>1960971222.0105603</v>
      </c>
    </row>
    <row r="1602" spans="1:5" x14ac:dyDescent="0.3">
      <c r="A1602" s="4">
        <v>995</v>
      </c>
      <c r="B1602" s="4">
        <f t="shared" ca="1" si="80"/>
        <v>0.4</v>
      </c>
      <c r="C1602" s="4">
        <f t="shared" ca="1" si="81"/>
        <v>4902428055.0264006</v>
      </c>
    </row>
    <row r="1603" spans="1:5" x14ac:dyDescent="0.3">
      <c r="A1603" s="4">
        <v>996</v>
      </c>
      <c r="B1603" s="4">
        <f t="shared" ca="1" si="80"/>
        <v>0.36000000000000004</v>
      </c>
      <c r="C1603" s="4">
        <f t="shared" ca="1" si="81"/>
        <v>4412185249.5237608</v>
      </c>
      <c r="D1603" s="2"/>
      <c r="E1603" s="2"/>
    </row>
    <row r="1604" spans="1:5" x14ac:dyDescent="0.3">
      <c r="A1604" s="4">
        <v>997</v>
      </c>
      <c r="B1604" s="4">
        <f t="shared" ca="1" si="80"/>
        <v>0.24</v>
      </c>
      <c r="C1604" s="4">
        <f t="shared" ca="1" si="81"/>
        <v>2941456833.0158401</v>
      </c>
    </row>
    <row r="1605" spans="1:5" x14ac:dyDescent="0.3">
      <c r="A1605" s="4">
        <v>998</v>
      </c>
      <c r="B1605" s="4">
        <f t="shared" ca="1" si="80"/>
        <v>8.0000000000000016E-2</v>
      </c>
      <c r="C1605" s="4">
        <f t="shared" ca="1" si="81"/>
        <v>980485611.00528014</v>
      </c>
      <c r="D1605" s="2"/>
      <c r="E1605" s="2"/>
    </row>
    <row r="1606" spans="1:5" x14ac:dyDescent="0.3">
      <c r="A1606" s="4">
        <v>999</v>
      </c>
      <c r="B1606" s="4">
        <f t="shared" ca="1" si="80"/>
        <v>0.27999999999999997</v>
      </c>
      <c r="C1606" s="4">
        <f t="shared" ca="1" si="81"/>
        <v>3431699638.5184798</v>
      </c>
      <c r="D1606" s="2"/>
      <c r="E1606" s="2"/>
    </row>
    <row r="1607" spans="1:5" x14ac:dyDescent="0.3">
      <c r="A1607" s="4">
        <v>1000</v>
      </c>
      <c r="B1607" s="4">
        <f t="shared" ca="1" si="80"/>
        <v>0.32000000000000006</v>
      </c>
      <c r="C1607" s="4">
        <f t="shared" ca="1" si="81"/>
        <v>3921942444.0211205</v>
      </c>
    </row>
  </sheetData>
  <sortState xmlns:xlrd2="http://schemas.microsoft.com/office/spreadsheetml/2017/richdata2" ref="A3:L586">
    <sortCondition descending="1" ref="C3:C586"/>
  </sortState>
  <mergeCells count="1">
    <mergeCell ref="E1:L1"/>
  </mergeCells>
  <phoneticPr fontId="6" type="noConversion"/>
  <conditionalFormatting sqref="C3:C586">
    <cfRule type="colorScale" priority="1">
      <colorScale>
        <cfvo type="num" val="&quot;III&quot;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E599" xr:uid="{00000000-0002-0000-0000-000000000000}">
      <formula1>$B$3:$B$586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EE80-762A-432F-A0F3-9D339C2A4221}">
  <dimension ref="A1"/>
  <sheetViews>
    <sheetView workbookViewId="0">
      <selection activeCell="B1" sqref="B1"/>
    </sheetView>
  </sheetViews>
  <sheetFormatPr defaultRowHeight="14.4" x14ac:dyDescent="0.3"/>
  <cols>
    <col min="1" max="1" width="19.44140625" customWidth="1"/>
    <col min="2" max="2" width="32.33203125" customWidth="1"/>
  </cols>
  <sheetData>
    <row r="1" spans="1:1" x14ac:dyDescent="0.3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2026-04-18T12:03:09Z</dcterms:modified>
</cp:coreProperties>
</file>